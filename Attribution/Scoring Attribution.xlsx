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1"/>
  <workbookPr codeName="ThisWorkbook" defaultThemeVersion="124226"/>
  <mc:AlternateContent xmlns:mc="http://schemas.openxmlformats.org/markup-compatibility/2006">
    <mc:Choice Requires="x15">
      <x15ac:absPath xmlns:x15ac="http://schemas.microsoft.com/office/spreadsheetml/2010/11/ac" url="/Users/noveriojoe/Desktop/"/>
    </mc:Choice>
  </mc:AlternateContent>
  <xr:revisionPtr revIDLastSave="0" documentId="13_ncr:1_{F96AD94B-7425-B446-8009-4908D201AD3E}" xr6:coauthVersionLast="36" xr6:coauthVersionMax="36" xr10:uidLastSave="{00000000-0000-0000-0000-000000000000}"/>
  <bookViews>
    <workbookView xWindow="0" yWindow="0" windowWidth="28800" windowHeight="18000" tabRatio="854" activeTab="5" xr2:uid="{00000000-000D-0000-FFFF-FFFF00000000}"/>
  </bookViews>
  <sheets>
    <sheet name="Cover Page" sheetId="1" r:id="rId1"/>
    <sheet name="Note to Evaluators" sheetId="17" r:id="rId2"/>
    <sheet name="Score Summary" sheetId="11" r:id="rId3"/>
    <sheet name="Quantitative Evaluation" sheetId="4" r:id="rId4"/>
    <sheet name="Qualitative Eval" sheetId="9" r:id="rId5"/>
    <sheet name="Legend" sheetId="5" r:id="rId6"/>
  </sheets>
  <externalReferences>
    <externalReference r:id="rId7"/>
    <externalReference r:id="rId8"/>
  </externalReferences>
  <definedNames>
    <definedName name="COMPLIANCE_CODE">'[1]Compliance Legend'!$C$5:$C$11</definedName>
    <definedName name="COMPLIANCE_LIST2">'[2]Compliance Code'!$C$5:$C$11</definedName>
    <definedName name="_xlnm.Print_Area" localSheetId="5">Legend!$A$4:$F$36</definedName>
    <definedName name="_xlnm.Print_Area" localSheetId="4">'Qualitative Eval'!$A$4:$Q$45</definedName>
    <definedName name="_xlnm.Print_Titles" localSheetId="5">Legend!$4:$5</definedName>
    <definedName name="_xlnm.Print_Titles" localSheetId="2">'Score Summary'!$4:$13</definedName>
  </definedNames>
  <calcPr calcId="191029" concurrentCalc="0"/>
</workbook>
</file>

<file path=xl/calcChain.xml><?xml version="1.0" encoding="utf-8"?>
<calcChain xmlns="http://schemas.openxmlformats.org/spreadsheetml/2006/main">
  <c r="C45" i="11" l="1"/>
  <c r="C19" i="11"/>
  <c r="C17" i="11"/>
  <c r="AL33" i="4"/>
  <c r="AO33" i="4"/>
  <c r="AL31" i="4"/>
  <c r="AO31" i="4"/>
  <c r="AL30" i="4"/>
  <c r="AO30" i="4"/>
  <c r="AL29" i="4"/>
  <c r="AO29" i="4"/>
  <c r="AG34" i="4"/>
  <c r="E34" i="4"/>
  <c r="AO34" i="4"/>
  <c r="AN29" i="4"/>
  <c r="AL28" i="4"/>
  <c r="AO28" i="4"/>
  <c r="AN28" i="4"/>
  <c r="AL27" i="4"/>
  <c r="AN27" i="4"/>
  <c r="AN25" i="4"/>
  <c r="AN24" i="4"/>
  <c r="AO23" i="4"/>
  <c r="AG26" i="4"/>
  <c r="E26" i="4"/>
  <c r="AO26" i="4"/>
  <c r="AN23" i="4"/>
  <c r="AO20" i="4"/>
  <c r="AO21" i="4"/>
  <c r="AG22" i="4"/>
  <c r="E22" i="4"/>
  <c r="AO22" i="4"/>
  <c r="AN21" i="4"/>
  <c r="AN20" i="4"/>
  <c r="AO18" i="4"/>
  <c r="AN18" i="4"/>
  <c r="AO17" i="4"/>
  <c r="AN17" i="4"/>
  <c r="AO16" i="4"/>
  <c r="AG19" i="4"/>
  <c r="E19" i="4"/>
  <c r="AO19" i="4"/>
  <c r="AN16" i="4"/>
  <c r="Z33" i="4"/>
  <c r="AC33" i="4"/>
  <c r="Z31" i="4"/>
  <c r="AC31" i="4"/>
  <c r="Z30" i="4"/>
  <c r="AC30" i="4"/>
  <c r="Z29" i="4"/>
  <c r="AC29" i="4"/>
  <c r="U34" i="4"/>
  <c r="AC34" i="4"/>
  <c r="AB29" i="4"/>
  <c r="Z28" i="4"/>
  <c r="AC28" i="4"/>
  <c r="AB28" i="4"/>
  <c r="Z27" i="4"/>
  <c r="AC27" i="4"/>
  <c r="U32" i="4"/>
  <c r="E32" i="4"/>
  <c r="AC32" i="4"/>
  <c r="AB25" i="4"/>
  <c r="AB24" i="4"/>
  <c r="AC23" i="4"/>
  <c r="U26" i="4"/>
  <c r="AC26" i="4"/>
  <c r="AB23" i="4"/>
  <c r="AC20" i="4"/>
  <c r="AC21" i="4"/>
  <c r="U22" i="4"/>
  <c r="AC22" i="4"/>
  <c r="AB21" i="4"/>
  <c r="AB20" i="4"/>
  <c r="AC18" i="4"/>
  <c r="AB18" i="4"/>
  <c r="AC17" i="4"/>
  <c r="AB17" i="4"/>
  <c r="AC16" i="4"/>
  <c r="U19" i="4"/>
  <c r="AC19" i="4"/>
  <c r="AB16" i="4"/>
  <c r="N31" i="4"/>
  <c r="P31" i="4"/>
  <c r="N30" i="4"/>
  <c r="P30" i="4"/>
  <c r="N29" i="4"/>
  <c r="Q29" i="4"/>
  <c r="I34" i="4"/>
  <c r="N28" i="4"/>
  <c r="P28" i="4"/>
  <c r="Q28" i="4"/>
  <c r="P25" i="4"/>
  <c r="P24" i="4"/>
  <c r="P23" i="4"/>
  <c r="P16" i="4"/>
  <c r="Q18" i="4"/>
  <c r="P18" i="4"/>
  <c r="Q17" i="4"/>
  <c r="P17" i="4"/>
  <c r="N33" i="4"/>
  <c r="P33" i="4"/>
  <c r="AN31" i="4"/>
  <c r="AO27" i="4"/>
  <c r="AG32" i="4"/>
  <c r="AO32" i="4"/>
  <c r="AN30" i="4"/>
  <c r="AN33" i="4"/>
  <c r="AB27" i="4"/>
  <c r="AB31" i="4"/>
  <c r="AB30" i="4"/>
  <c r="AB33" i="4"/>
  <c r="Q31" i="4"/>
  <c r="Q30" i="4"/>
  <c r="P29" i="4"/>
  <c r="Q34" i="4"/>
  <c r="Q33" i="4"/>
  <c r="P21" i="4"/>
  <c r="Q21" i="4"/>
  <c r="T35" i="9"/>
  <c r="T34" i="9"/>
  <c r="T33" i="9"/>
  <c r="T32" i="9"/>
  <c r="T31" i="9"/>
  <c r="T30" i="9"/>
  <c r="C110" i="11"/>
  <c r="E38" i="11"/>
  <c r="T29" i="9"/>
  <c r="T28" i="9"/>
  <c r="T27" i="9"/>
  <c r="T26" i="9"/>
  <c r="T25" i="9"/>
  <c r="T24" i="9"/>
  <c r="T23" i="9"/>
  <c r="T22" i="9"/>
  <c r="T21" i="9"/>
  <c r="T20" i="9"/>
  <c r="T19" i="9"/>
  <c r="T18" i="9"/>
  <c r="T17" i="9"/>
  <c r="T16" i="9"/>
  <c r="T15" i="9"/>
  <c r="A1" i="11"/>
  <c r="C108" i="11"/>
  <c r="E36" i="11"/>
  <c r="C107" i="11"/>
  <c r="E35" i="11"/>
  <c r="C109" i="11"/>
  <c r="E37" i="11"/>
  <c r="C106" i="11"/>
  <c r="E34" i="11"/>
  <c r="A2" i="1"/>
  <c r="E32" i="11"/>
  <c r="A1" i="9"/>
  <c r="A1" i="4"/>
  <c r="I15" i="9"/>
  <c r="I16" i="9"/>
  <c r="I17" i="9"/>
  <c r="I18" i="9"/>
  <c r="I19" i="9"/>
  <c r="F32" i="11"/>
  <c r="F17" i="11"/>
  <c r="Q16" i="4"/>
  <c r="Q20" i="4"/>
  <c r="N27" i="4"/>
  <c r="Q27" i="4"/>
  <c r="A16" i="9"/>
  <c r="A17" i="9"/>
  <c r="A18" i="9"/>
  <c r="A19" i="9"/>
  <c r="A20" i="9"/>
  <c r="A21" i="9"/>
  <c r="A22" i="9"/>
  <c r="A23" i="9"/>
  <c r="A24" i="9"/>
  <c r="A25" i="9"/>
  <c r="A26" i="9"/>
  <c r="A27" i="9"/>
  <c r="A28" i="9"/>
  <c r="A29" i="9"/>
  <c r="A30" i="9"/>
  <c r="A31" i="9"/>
  <c r="A32" i="9"/>
  <c r="A33" i="9"/>
  <c r="A34" i="9"/>
  <c r="A35" i="9"/>
  <c r="N15" i="9"/>
  <c r="N16" i="9"/>
  <c r="N17" i="9"/>
  <c r="C83" i="11"/>
  <c r="D34" i="11"/>
  <c r="N18" i="9"/>
  <c r="N19" i="9"/>
  <c r="N20" i="9"/>
  <c r="N21" i="9"/>
  <c r="N22" i="9"/>
  <c r="N23" i="9"/>
  <c r="N24" i="9"/>
  <c r="N25" i="9"/>
  <c r="N26" i="9"/>
  <c r="N27" i="9"/>
  <c r="N28" i="9"/>
  <c r="N29" i="9"/>
  <c r="N30" i="9"/>
  <c r="N31" i="9"/>
  <c r="N32" i="9"/>
  <c r="N33" i="9"/>
  <c r="N34" i="9"/>
  <c r="N35" i="9"/>
  <c r="I20" i="9"/>
  <c r="I24" i="9"/>
  <c r="I21" i="9"/>
  <c r="I22" i="9"/>
  <c r="I23" i="9"/>
  <c r="I25" i="9"/>
  <c r="I26" i="9"/>
  <c r="C62" i="11"/>
  <c r="C36" i="11"/>
  <c r="I29" i="9"/>
  <c r="I27" i="9"/>
  <c r="I28" i="9"/>
  <c r="I30" i="9"/>
  <c r="I31" i="9"/>
  <c r="I32" i="9"/>
  <c r="I33" i="9"/>
  <c r="I34" i="9"/>
  <c r="I35" i="9"/>
  <c r="C86" i="11"/>
  <c r="D37" i="11"/>
  <c r="C48" i="11"/>
  <c r="C22" i="11"/>
  <c r="I32" i="4"/>
  <c r="Q32" i="4"/>
  <c r="C60" i="11"/>
  <c r="C34" i="11"/>
  <c r="F39" i="11"/>
  <c r="Q23" i="4"/>
  <c r="I26" i="4"/>
  <c r="Q26" i="4"/>
  <c r="P20" i="4"/>
  <c r="C63" i="11"/>
  <c r="C37" i="11"/>
  <c r="C87" i="11"/>
  <c r="D38" i="11"/>
  <c r="C85" i="11"/>
  <c r="D36" i="11"/>
  <c r="P27" i="4"/>
  <c r="C84" i="11"/>
  <c r="D35" i="11"/>
  <c r="C64" i="11"/>
  <c r="C38" i="11"/>
  <c r="C61" i="11"/>
  <c r="C35" i="11"/>
  <c r="I19" i="4"/>
  <c r="C70" i="11"/>
  <c r="D21" i="11"/>
  <c r="C47" i="11"/>
  <c r="C21" i="11"/>
  <c r="C95" i="11"/>
  <c r="E23" i="11"/>
  <c r="C93" i="11"/>
  <c r="E21" i="11"/>
  <c r="C32" i="11"/>
  <c r="D32" i="11"/>
  <c r="C71" i="11"/>
  <c r="D22" i="11"/>
  <c r="C49" i="11"/>
  <c r="C23" i="11"/>
  <c r="C72" i="11"/>
  <c r="D23" i="11"/>
  <c r="I22" i="4"/>
  <c r="Q22" i="4"/>
  <c r="C46" i="11"/>
  <c r="C20" i="11"/>
  <c r="C39" i="11"/>
  <c r="C68" i="11"/>
  <c r="D19" i="11"/>
  <c r="C69" i="11"/>
  <c r="D20" i="11"/>
  <c r="C91" i="11"/>
  <c r="E19" i="11"/>
  <c r="C92" i="11"/>
  <c r="E20" i="11"/>
  <c r="C94" i="11"/>
  <c r="E22" i="11"/>
  <c r="D39" i="11"/>
  <c r="D17" i="11"/>
  <c r="E39" i="11"/>
  <c r="E17" i="11"/>
  <c r="Q19" i="4"/>
</calcChain>
</file>

<file path=xl/sharedStrings.xml><?xml version="1.0" encoding="utf-8"?>
<sst xmlns="http://schemas.openxmlformats.org/spreadsheetml/2006/main" count="351" uniqueCount="189">
  <si>
    <t>A</t>
  </si>
  <si>
    <t>F</t>
  </si>
  <si>
    <t>E</t>
  </si>
  <si>
    <t>Completeness</t>
  </si>
  <si>
    <t xml:space="preserve"> Accuracy</t>
  </si>
  <si>
    <t>Flexibility</t>
  </si>
  <si>
    <t>Ease of Use</t>
  </si>
  <si>
    <t>Min</t>
  </si>
  <si>
    <t>Max</t>
  </si>
  <si>
    <t>Raw Score</t>
  </si>
  <si>
    <t>Maximum Score:</t>
  </si>
  <si>
    <t>Qualitative Evaluation</t>
  </si>
  <si>
    <t>Legend</t>
  </si>
  <si>
    <t>Vendor 1</t>
  </si>
  <si>
    <t>Vendor 2</t>
  </si>
  <si>
    <t>Total</t>
  </si>
  <si>
    <t>C</t>
  </si>
  <si>
    <t>Evaluator Name:</t>
  </si>
  <si>
    <t>Signature</t>
  </si>
  <si>
    <t>Vendor:</t>
  </si>
  <si>
    <t>Nilai Bobot</t>
  </si>
  <si>
    <t>Bobot</t>
  </si>
  <si>
    <t>Pembobotan Evaluasi</t>
  </si>
  <si>
    <t>Kuantitatif</t>
  </si>
  <si>
    <t>Kualitatif</t>
  </si>
  <si>
    <t xml:space="preserve">Evaluasi Proof of Concept </t>
  </si>
  <si>
    <t>Catatan untuk Tim Evaluasi:</t>
  </si>
  <si>
    <t>Isilah cell yang berwarna kuning berdasarkan evaluasi / pengetahuan anda</t>
  </si>
  <si>
    <t>Disiapkan Oleh</t>
  </si>
  <si>
    <t>Nilai POC Keseluruhan</t>
  </si>
  <si>
    <t>Tanggal</t>
  </si>
  <si>
    <t>Tanda Tangan</t>
  </si>
  <si>
    <t>Diperiksa Oleh</t>
  </si>
  <si>
    <t>Nilai Mentah</t>
  </si>
  <si>
    <t>Profesionalitas Vendor</t>
  </si>
  <si>
    <t>Nilai Tambah</t>
  </si>
  <si>
    <t>Pemahaman Arsitektur</t>
  </si>
  <si>
    <t>Pemahaman Infrastruktur</t>
  </si>
  <si>
    <t>Evaluasi Kuantitatif</t>
  </si>
  <si>
    <t>Nama Evaluator:</t>
  </si>
  <si>
    <t>Tanda Tangan:</t>
  </si>
  <si>
    <t>Langkah</t>
  </si>
  <si>
    <t>Kategori Langkah</t>
  </si>
  <si>
    <t>Kegiatan</t>
  </si>
  <si>
    <t>Rincian</t>
  </si>
  <si>
    <t>Tingkat Kebutuhan</t>
  </si>
  <si>
    <t>Nilai</t>
  </si>
  <si>
    <t>% Nilai Bobot</t>
  </si>
  <si>
    <t>(Nilai Penuh = Tingkat Kebutuhan)</t>
  </si>
  <si>
    <t>Nilai Bobot:</t>
  </si>
  <si>
    <t>Kategori Kegiatan</t>
  </si>
  <si>
    <t>Tingkat Kepuasan</t>
  </si>
  <si>
    <t>Tingkat Kesiapan</t>
  </si>
  <si>
    <t>1. Bahan tambahan untuk staff POC, mis. Powerpoin yang menggambarkan konsep, banyak contoh dari transaksi bisnis, bagan tambahan, dsb.</t>
  </si>
  <si>
    <t>2. Kelengkapan dalam persiapan/ setting lingkungan POC mis. Setup server</t>
  </si>
  <si>
    <t>3. Presentasi yang disiapkan dengan baik saat walkthrough skenario</t>
  </si>
  <si>
    <t>1. Pengelolaan waktu yang efektif - dapat menyelesaikan script dalam kerangka waktu yang diberikan</t>
  </si>
  <si>
    <t>2. Pengaturan urutan pengujian - Skenario pengujian yang diberikan diatur berdasarkan sarsaran pengujian</t>
  </si>
  <si>
    <t>3. Personil yang kompeten dan berpengalaman 
     - tingkat pemahaman</t>
  </si>
  <si>
    <t xml:space="preserve">     - Memberi penjelasan dengan baik</t>
  </si>
  <si>
    <t xml:space="preserve">     - Menanggapi dengan benar dan akurat</t>
  </si>
  <si>
    <t>4. Bantuan langsung - memandu user untuk memfasilitasi proses pengujian</t>
  </si>
  <si>
    <t>5. Pengendalian emosi - menanggapi pertanyaan dengan cara yang profesional (mis. Sabar, dsb)</t>
  </si>
  <si>
    <t xml:space="preserve">1.Berbagi proses best practice melebihi target pengujian </t>
  </si>
  <si>
    <t>2 Memberi benchmark/ perbandingan terhadap standar industri (berbagi penglaman) mis. Waktu yang dibutuhkan untuk proses pembukaan rekening dari awal hingga akhir</t>
  </si>
  <si>
    <t>1. Kapabilitas pemisahan data</t>
  </si>
  <si>
    <t>2. Kebutuhan lingkungan teknis</t>
  </si>
  <si>
    <t>3. Scalability Arsitektur</t>
  </si>
  <si>
    <t>4. Ketersediaan arsitektur</t>
  </si>
  <si>
    <t>5. Sifat Modular Arsitektur</t>
  </si>
  <si>
    <t>6. Kemampuan Virtualisasi</t>
  </si>
  <si>
    <t>Deskripsi Tingkat Kebutuhan</t>
  </si>
  <si>
    <t>Tidak dibutuhkan</t>
  </si>
  <si>
    <t>Dibutuhkan</t>
  </si>
  <si>
    <t>Penting / Kritikal</t>
  </si>
  <si>
    <t>Ingin dimiliki / Jika memungkinkan</t>
  </si>
  <si>
    <t>Kunci</t>
  </si>
  <si>
    <t>Deskripsi</t>
  </si>
  <si>
    <t>Jangkauan Nilai</t>
  </si>
  <si>
    <t>Deskripsi Nilai</t>
  </si>
  <si>
    <t>Kelengkapan dari sejumlah fungsionalitas yang didukung oleh produk/ layanan</t>
  </si>
  <si>
    <t>Ketepatan hasil dari sistem</t>
  </si>
  <si>
    <t>Tingkat fleksibilitas sistem dan seberapa banyak dan seberapa mudah proses konfigurasi tanpa pemrograman bisa dilakukan untuk mendukung kebutuhan Bank di masa depan</t>
  </si>
  <si>
    <t>Tingkat kesederhanaan dan kemudahan penggunaan sistem</t>
  </si>
  <si>
    <t>Sangat terbatas atau tidak ada</t>
  </si>
  <si>
    <t>jangkauan terbatas</t>
  </si>
  <si>
    <t>jangkauan rata - rata</t>
  </si>
  <si>
    <t>Jangkauan lebar dan kompetitif</t>
  </si>
  <si>
    <t>Tidak akurat</t>
  </si>
  <si>
    <t>Akurat</t>
  </si>
  <si>
    <t>Tidak fleksibel</t>
  </si>
  <si>
    <t>Sedikit fleksibel dan// atau sangat sulit dikonfigurasi</t>
  </si>
  <si>
    <t>Fleksibilitas rata - rata</t>
  </si>
  <si>
    <t>Fleksibel dan mudah mudah dikonfigurasi</t>
  </si>
  <si>
    <t>Sangat sulit digunakan, tidak praktis, dan hampir tidak berfungsi</t>
  </si>
  <si>
    <t>Sulit digunakan</t>
  </si>
  <si>
    <t>Sangat mudah digunakan</t>
  </si>
  <si>
    <t>Secara umum mudah digunakan</t>
  </si>
  <si>
    <t>Tidak memiliki kapabilitas / Tugas tidak dilaksanakan</t>
  </si>
  <si>
    <t>Sangat tidak puas</t>
  </si>
  <si>
    <t>Tidak puas</t>
  </si>
  <si>
    <t>Biasa</t>
  </si>
  <si>
    <t>Puas</t>
  </si>
  <si>
    <t>Sangat puas</t>
  </si>
  <si>
    <t>Tanggal  :</t>
  </si>
  <si>
    <t>Versi      :</t>
  </si>
  <si>
    <t xml:space="preserve">Nomor     </t>
  </si>
  <si>
    <t>&lt;NAMA DOKUMEN&gt;</t>
  </si>
  <si>
    <t xml:space="preserve">Nomor            :      </t>
  </si>
  <si>
    <t xml:space="preserve">Nomor               :  </t>
  </si>
  <si>
    <t xml:space="preserve">Nomor                :  </t>
  </si>
  <si>
    <t xml:space="preserve">Tanggal   :                   </t>
  </si>
  <si>
    <t xml:space="preserve">Versi        :                  </t>
  </si>
  <si>
    <t xml:space="preserve">Nomor     :                 </t>
  </si>
  <si>
    <t>Vendor Application</t>
  </si>
  <si>
    <t>Vendor Server</t>
  </si>
  <si>
    <t>Integrasi System dengan Bank</t>
  </si>
  <si>
    <t>Other</t>
  </si>
  <si>
    <t>1. Konsep arsitektur aplikasi</t>
  </si>
  <si>
    <t>2. Konsep Arsitektur Database</t>
  </si>
  <si>
    <t>3. Konsep arsitektur integrasi</t>
  </si>
  <si>
    <t>1.0</t>
  </si>
  <si>
    <t>Versi                  :  1.0</t>
  </si>
  <si>
    <t>Versi                   :  1.0</t>
  </si>
  <si>
    <t>Vendor 3</t>
  </si>
  <si>
    <t xml:space="preserve">Versi               : 1.0  </t>
  </si>
  <si>
    <t>Jakarta - November 2019</t>
  </si>
  <si>
    <t>Pengembangan Liveness</t>
  </si>
  <si>
    <t>Tanggal          :  28 November 2019</t>
  </si>
  <si>
    <t>Tanggal              :  28 November 2019</t>
  </si>
  <si>
    <t>Detection Type</t>
  </si>
  <si>
    <t>System Security</t>
  </si>
  <si>
    <t>Vendor 1: Q2
Vendor 2: IDstar
Vendor 3: MIS</t>
  </si>
  <si>
    <t>1. Vebi Verdiana
2. Melie Rosita</t>
  </si>
  <si>
    <t>1.
                                      2.</t>
  </si>
  <si>
    <t>1. Ditto Prabowo Widigdo
2. Ignatius Adelbertus</t>
  </si>
  <si>
    <t xml:space="preserve">1. 
                                                  2. </t>
  </si>
  <si>
    <t xml:space="preserve">Audience Builder </t>
  </si>
  <si>
    <t xml:space="preserve">Tracking </t>
  </si>
  <si>
    <t xml:space="preserve">Building audience based on customers need to do retargeting and reengagement in digital media platform </t>
  </si>
  <si>
    <t xml:space="preserve">Fraud Prevention </t>
  </si>
  <si>
    <t xml:space="preserve">Preventing and identifying fraud digital campaign performance </t>
  </si>
  <si>
    <t xml:space="preserve">Segmentation </t>
  </si>
  <si>
    <t xml:space="preserve">Reporting </t>
  </si>
  <si>
    <t xml:space="preserve">App Tracking </t>
  </si>
  <si>
    <t xml:space="preserve">Real time Attribtion &amp; Reporting + Customizable dashboard </t>
  </si>
  <si>
    <t xml:space="preserve">Dashboard able to show and report real time data. Dashboard can be customize by users based on need  </t>
  </si>
  <si>
    <t>Raw Data Accessand generating report</t>
  </si>
  <si>
    <t xml:space="preserve">Access and ability to download raw data. Ability to download variety of reports including charts, reports, CSV reports, ROI/RAS, cohort data by events and other type of reports  </t>
  </si>
  <si>
    <t xml:space="preserve">Uninstall and Inactive Tracking + re-attribution tracking </t>
  </si>
  <si>
    <t xml:space="preserve">Attribution Tracking and In App Tracking </t>
  </si>
  <si>
    <t>1. Click &amp; Impression Attribution; and the ability to do multi touch attribution. 
2. Ability to differentiate between organic and paid install. 
3. Custom in application tracking based on what customers and potential customers do in the app</t>
  </si>
  <si>
    <t>1. Identifying users who have uninstall the application or become inactive.
2.  After a campaign can measure performance in regards to reverting customers (those who uninstall has install the aplication, those who are inactive has become active again)</t>
  </si>
  <si>
    <t xml:space="preserve">Intergration </t>
  </si>
  <si>
    <t>Implementation</t>
  </si>
  <si>
    <t xml:space="preserve">Total Tracking </t>
  </si>
  <si>
    <t xml:space="preserve">Total Additional Feature </t>
  </si>
  <si>
    <t>Total Reporting and Dashboard</t>
  </si>
  <si>
    <t>Total IT Security, Intergration and Implementation</t>
  </si>
  <si>
    <t>Access</t>
  </si>
  <si>
    <t>Number of people who can access the platform; the ability to determine the type of access each user have</t>
  </si>
  <si>
    <t>SDK &amp; Traffic Data Size</t>
  </si>
  <si>
    <t>SDK size implemented in our Apps and traffic data sent to Attribution platform must both be small enough to not affect our apps performance</t>
  </si>
  <si>
    <t>Integration Method</t>
  </si>
  <si>
    <t>Easy to integrate to our Mobile Platform</t>
  </si>
  <si>
    <t>Certification Related to Security / Pentest Report</t>
  </si>
  <si>
    <t>Vendor should have certification related to data security and atleast have Pentest report ( or doing pentest regularly to its platform)</t>
  </si>
  <si>
    <t>Support Hybrid Platform based on Cordova</t>
  </si>
  <si>
    <t>The SDK should be able to run and fully integrated under hybrid platform based application such as cordova</t>
  </si>
  <si>
    <t>Cloud Regulation Workaround (if any)</t>
  </si>
  <si>
    <t>Due to cloud usage restriction, please also provide the workaround plan for cloud usage restriction</t>
  </si>
  <si>
    <t>Data Size</t>
  </si>
  <si>
    <t xml:space="preserve">Security </t>
  </si>
  <si>
    <t>Others</t>
  </si>
  <si>
    <t xml:space="preserve">Support </t>
  </si>
  <si>
    <t>Support</t>
  </si>
  <si>
    <t xml:space="preserve">Total Support </t>
  </si>
  <si>
    <t xml:space="preserve">1) SLA of support in regards to questions and problems concerning the platform. 
2) Training consistency and frequency. 
3) Success Manager </t>
  </si>
  <si>
    <t xml:space="preserve">Additional Features </t>
  </si>
  <si>
    <t xml:space="preserve">Reporting and Dashboard </t>
  </si>
  <si>
    <t>IT Security, Intergration and Implementation</t>
  </si>
  <si>
    <t xml:space="preserve">Ability to track multiple apps; number of apps that can be tracked </t>
  </si>
  <si>
    <t>Appsflyer</t>
  </si>
  <si>
    <t xml:space="preserve">Adjust </t>
  </si>
  <si>
    <t>Branch</t>
  </si>
  <si>
    <t>Vendor 1: Appsflyer
Vendor 2: Adjust 
Vendor 3: Branch</t>
  </si>
  <si>
    <t xml:space="preserve">1. 
2. </t>
  </si>
  <si>
    <t xml:space="preserve">Tanggal             :  </t>
  </si>
  <si>
    <t>Vendor 1: Appsflyer
Vendor 2: Adjust
Vendor 3: Branch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</si>
</sst>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m\ dd\,\ yyyy"/>
    <numFmt numFmtId="165" formatCode=";;;"/>
    <numFmt numFmtId="166" formatCode="_(* #,##0.00000_);_(* \(#,##0.00000\);_(* &quot;-&quot;??_);_(@_)"/>
    <numFmt numFmtId="167" formatCode="0.00_)"/>
    <numFmt numFmtId="168" formatCode="0.0%"/>
  </numFmts>
  <fonts count="60">
    <font>
      <sz val="10"/>
      <name val="Arial"/>
    </font>
    <font>
      <sz val="10"/>
      <name val="Arial"/>
      <family val="2"/>
    </font>
    <font>
      <sz val="22"/>
      <name val="Arial"/>
      <family val="2"/>
    </font>
    <font>
      <b/>
      <sz val="22"/>
      <name val="Arial"/>
      <family val="2"/>
    </font>
    <font>
      <sz val="10"/>
      <name val="Book Antiqua"/>
      <family val="1"/>
    </font>
    <font>
      <sz val="26"/>
      <name val="Book Antiqua"/>
      <family val="1"/>
    </font>
    <font>
      <sz val="10"/>
      <name val="Arial"/>
      <family val="2"/>
    </font>
    <font>
      <sz val="16"/>
      <name val="Book Antiqua"/>
      <family val="1"/>
    </font>
    <font>
      <sz val="18"/>
      <name val="Book Antiqua"/>
      <family val="1"/>
    </font>
    <font>
      <sz val="12"/>
      <name val="Book Antiqua"/>
      <family val="1"/>
    </font>
    <font>
      <i/>
      <sz val="12"/>
      <name val="Book Antiqua"/>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Times New Roman"/>
      <family val="1"/>
    </font>
    <font>
      <sz val="14"/>
      <name val="Cordia New"/>
      <family val="2"/>
    </font>
    <font>
      <sz val="12"/>
      <name val="Arial"/>
      <family val="2"/>
    </font>
    <font>
      <i/>
      <sz val="11"/>
      <color indexed="23"/>
      <name val="Calibri"/>
      <family val="2"/>
    </font>
    <font>
      <sz val="11"/>
      <color indexed="17"/>
      <name val="Calibri"/>
      <family val="2"/>
    </font>
    <font>
      <sz val="8"/>
      <name val="Arial"/>
      <family val="2"/>
    </font>
    <font>
      <b/>
      <sz val="15"/>
      <color indexed="56"/>
      <name val="Calibri"/>
      <family val="2"/>
    </font>
    <font>
      <b/>
      <sz val="13"/>
      <color indexed="56"/>
      <name val="Calibri"/>
      <family val="2"/>
    </font>
    <font>
      <b/>
      <sz val="11"/>
      <color indexed="56"/>
      <name val="Calibri"/>
      <family val="2"/>
    </font>
    <font>
      <b/>
      <sz val="18"/>
      <name val="Arial"/>
      <family val="2"/>
    </font>
    <font>
      <b/>
      <sz val="12"/>
      <name val="Arial"/>
      <family val="2"/>
    </font>
    <font>
      <sz val="11"/>
      <color indexed="62"/>
      <name val="Calibri"/>
      <family val="2"/>
    </font>
    <font>
      <sz val="11"/>
      <color indexed="52"/>
      <name val="Calibri"/>
      <family val="2"/>
    </font>
    <font>
      <sz val="11"/>
      <color indexed="60"/>
      <name val="Calibri"/>
      <family val="2"/>
    </font>
    <font>
      <sz val="7"/>
      <name val="Small Fonts"/>
      <family val="2"/>
    </font>
    <font>
      <b/>
      <i/>
      <sz val="16"/>
      <name val="Helv"/>
    </font>
    <font>
      <b/>
      <sz val="11"/>
      <color indexed="63"/>
      <name val="Calibri"/>
      <family val="2"/>
    </font>
    <font>
      <b/>
      <sz val="18"/>
      <color indexed="56"/>
      <name val="Cambria"/>
      <family val="2"/>
    </font>
    <font>
      <sz val="22"/>
      <name val="AngsanaUPC"/>
      <family val="1"/>
    </font>
    <font>
      <sz val="11"/>
      <color indexed="10"/>
      <name val="Calibri"/>
      <family val="2"/>
    </font>
    <font>
      <sz val="10"/>
      <name val="Cordia New"/>
      <family val="2"/>
    </font>
    <font>
      <b/>
      <sz val="11"/>
      <name val="Arial"/>
      <family val="2"/>
    </font>
    <font>
      <sz val="11"/>
      <name val="Arial"/>
      <family val="2"/>
    </font>
    <font>
      <sz val="11"/>
      <name val="Arial"/>
      <family val="2"/>
    </font>
    <font>
      <b/>
      <sz val="14"/>
      <color indexed="9"/>
      <name val="Arial"/>
      <family val="2"/>
    </font>
    <font>
      <sz val="9"/>
      <name val="Arial"/>
      <family val="2"/>
    </font>
    <font>
      <b/>
      <sz val="10"/>
      <name val="Arial"/>
      <family val="2"/>
    </font>
    <font>
      <sz val="10"/>
      <name val="Arial"/>
      <family val="2"/>
    </font>
    <font>
      <sz val="10"/>
      <color indexed="9"/>
      <name val="Arial"/>
      <family val="2"/>
    </font>
    <font>
      <b/>
      <sz val="10"/>
      <color indexed="9"/>
      <name val="Arial"/>
      <family val="2"/>
    </font>
    <font>
      <b/>
      <sz val="14"/>
      <color indexed="9"/>
      <name val="Arial"/>
      <family val="2"/>
    </font>
    <font>
      <b/>
      <sz val="14"/>
      <name val="Arial"/>
      <family val="2"/>
    </font>
    <font>
      <sz val="10"/>
      <color indexed="22"/>
      <name val="Arial"/>
      <family val="2"/>
    </font>
    <font>
      <sz val="10"/>
      <color indexed="10"/>
      <name val="Arial"/>
      <family val="2"/>
    </font>
    <font>
      <i/>
      <sz val="10"/>
      <color indexed="10"/>
      <name val="Arial"/>
      <family val="2"/>
    </font>
    <font>
      <i/>
      <sz val="10"/>
      <color indexed="10"/>
      <name val="Arial"/>
      <family val="2"/>
    </font>
    <font>
      <b/>
      <sz val="14"/>
      <color indexed="10"/>
      <name val="Arial"/>
      <family val="2"/>
    </font>
    <font>
      <b/>
      <sz val="10"/>
      <color indexed="9"/>
      <name val="Trebuchet MS"/>
      <family val="2"/>
    </font>
    <font>
      <b/>
      <sz val="10"/>
      <name val="Trebuchet MS"/>
      <family val="2"/>
    </font>
    <font>
      <b/>
      <sz val="10"/>
      <color theme="0"/>
      <name val="Trebuchet MS"/>
      <family val="2"/>
    </font>
    <font>
      <b/>
      <sz val="30"/>
      <name val="Book Antiqua"/>
      <family val="1"/>
    </font>
    <font>
      <i/>
      <sz val="10"/>
      <name val="Arial"/>
      <family val="2"/>
    </font>
    <font>
      <sz val="10"/>
      <color theme="1"/>
      <name val="Arial"/>
      <family val="2"/>
    </font>
    <font>
      <sz val="10"/>
      <color theme="1"/>
      <name val="Calibri"/>
      <family val="2"/>
      <scheme val="minor"/>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52"/>
        <bgColor indexed="64"/>
      </patternFill>
    </fill>
    <fill>
      <patternFill patternType="solid">
        <fgColor indexed="60"/>
        <bgColor indexed="64"/>
      </patternFill>
    </fill>
    <fill>
      <patternFill patternType="solid">
        <fgColor indexed="10"/>
        <bgColor indexed="64"/>
      </patternFill>
    </fill>
    <fill>
      <patternFill patternType="solid">
        <fgColor indexed="51"/>
        <bgColor indexed="64"/>
      </patternFill>
    </fill>
    <fill>
      <patternFill patternType="solid">
        <fgColor indexed="47"/>
        <bgColor indexed="64"/>
      </patternFill>
    </fill>
    <fill>
      <patternFill patternType="solid">
        <fgColor indexed="43"/>
        <bgColor indexed="64"/>
      </patternFill>
    </fill>
    <fill>
      <patternFill patternType="solid">
        <fgColor theme="0"/>
        <bgColor indexed="64"/>
      </patternFill>
    </fill>
    <fill>
      <patternFill patternType="solid">
        <fgColor theme="1" tint="0.499984740745262"/>
        <bgColor indexed="64"/>
      </patternFill>
    </fill>
  </fills>
  <borders count="3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diagonal/>
    </border>
    <border>
      <left/>
      <right/>
      <top style="hair">
        <color indexed="64"/>
      </top>
      <bottom style="hair">
        <color indexed="64"/>
      </bottom>
      <diagonal/>
    </border>
    <border>
      <left/>
      <right/>
      <top style="thin">
        <color indexed="64"/>
      </top>
      <bottom style="double">
        <color indexed="64"/>
      </bottom>
      <diagonal/>
    </border>
    <border>
      <left style="thin">
        <color indexed="13"/>
      </left>
      <right style="thin">
        <color indexed="13"/>
      </right>
      <top style="thin">
        <color indexed="13"/>
      </top>
      <bottom style="thin">
        <color indexed="1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3">
    <xf numFmtId="0" fontId="0" fillId="0" borderId="0"/>
    <xf numFmtId="0" fontId="6"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5" borderId="0" applyNumberFormat="0" applyBorder="0" applyAlignment="0" applyProtection="0"/>
    <xf numFmtId="0" fontId="11" fillId="8" borderId="0" applyNumberFormat="0" applyBorder="0" applyAlignment="0" applyProtection="0"/>
    <xf numFmtId="0" fontId="11" fillId="11"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9" borderId="0" applyNumberFormat="0" applyBorder="0" applyAlignment="0" applyProtection="0"/>
    <xf numFmtId="0" fontId="13" fillId="3" borderId="0" applyNumberFormat="0" applyBorder="0" applyAlignment="0" applyProtection="0"/>
    <xf numFmtId="0" fontId="14" fillId="20" borderId="1" applyNumberFormat="0" applyAlignment="0" applyProtection="0"/>
    <xf numFmtId="0" fontId="15" fillId="21" borderId="2" applyNumberFormat="0" applyAlignment="0" applyProtection="0"/>
    <xf numFmtId="0" fontId="16" fillId="0" borderId="0"/>
    <xf numFmtId="165" fontId="17" fillId="0" borderId="0"/>
    <xf numFmtId="0" fontId="18" fillId="0" borderId="0" applyProtection="0"/>
    <xf numFmtId="166" fontId="17" fillId="0" borderId="0"/>
    <xf numFmtId="0" fontId="38" fillId="0" borderId="0"/>
    <xf numFmtId="0" fontId="19" fillId="0" borderId="0" applyNumberFormat="0" applyFill="0" applyBorder="0" applyAlignment="0" applyProtection="0"/>
    <xf numFmtId="2" fontId="18" fillId="0" borderId="0" applyProtection="0"/>
    <xf numFmtId="0" fontId="20" fillId="4" borderId="0" applyNumberFormat="0" applyBorder="0" applyAlignment="0" applyProtection="0"/>
    <xf numFmtId="38" fontId="21" fillId="22" borderId="0" applyNumberFormat="0" applyBorder="0" applyAlignment="0" applyProtection="0"/>
    <xf numFmtId="0" fontId="22" fillId="0" borderId="3" applyNumberFormat="0" applyFill="0" applyAlignment="0" applyProtection="0"/>
    <xf numFmtId="0" fontId="23" fillId="0" borderId="4" applyNumberFormat="0" applyFill="0" applyAlignment="0" applyProtection="0"/>
    <xf numFmtId="0" fontId="24" fillId="0" borderId="5" applyNumberFormat="0" applyFill="0" applyAlignment="0" applyProtection="0"/>
    <xf numFmtId="0" fontId="24" fillId="0" borderId="0" applyNumberFormat="0" applyFill="0" applyBorder="0" applyAlignment="0" applyProtection="0"/>
    <xf numFmtId="0" fontId="25" fillId="0" borderId="0" applyProtection="0"/>
    <xf numFmtId="0" fontId="26" fillId="0" borderId="0" applyProtection="0"/>
    <xf numFmtId="0" fontId="27" fillId="7" borderId="1" applyNumberFormat="0" applyAlignment="0" applyProtection="0"/>
    <xf numFmtId="10" fontId="21" fillId="23" borderId="6" applyNumberFormat="0" applyBorder="0" applyAlignment="0" applyProtection="0"/>
    <xf numFmtId="0" fontId="28" fillId="0" borderId="7" applyNumberFormat="0" applyFill="0" applyAlignment="0" applyProtection="0"/>
    <xf numFmtId="0" fontId="29" fillId="24" borderId="0" applyNumberFormat="0" applyBorder="0" applyAlignment="0" applyProtection="0"/>
    <xf numFmtId="37" fontId="30" fillId="0" borderId="0"/>
    <xf numFmtId="167" fontId="31" fillId="0" borderId="0"/>
    <xf numFmtId="0" fontId="1" fillId="25" borderId="8" applyNumberFormat="0" applyFont="0" applyAlignment="0" applyProtection="0"/>
    <xf numFmtId="0" fontId="32" fillId="20" borderId="9" applyNumberFormat="0" applyAlignment="0" applyProtection="0"/>
    <xf numFmtId="9" fontId="1" fillId="0" borderId="0" applyFont="0" applyFill="0" applyBorder="0" applyAlignment="0" applyProtection="0"/>
    <xf numFmtId="10" fontId="6" fillId="0" borderId="0" applyFont="0" applyFill="0" applyBorder="0" applyAlignment="0" applyProtection="0"/>
    <xf numFmtId="0" fontId="6" fillId="0" borderId="0">
      <alignment vertical="justify"/>
    </xf>
    <xf numFmtId="1" fontId="6" fillId="0" borderId="10" applyNumberFormat="0" applyFill="0" applyAlignment="0" applyProtection="0">
      <alignment horizontal="center" vertical="center"/>
    </xf>
    <xf numFmtId="0" fontId="16" fillId="0" borderId="11" applyAlignment="0">
      <alignment horizontal="centerContinuous"/>
    </xf>
    <xf numFmtId="0" fontId="33" fillId="0" borderId="0" applyNumberFormat="0" applyFill="0" applyBorder="0" applyAlignment="0" applyProtection="0"/>
    <xf numFmtId="0" fontId="18" fillId="0" borderId="12" applyProtection="0"/>
    <xf numFmtId="0" fontId="34" fillId="0" borderId="13"/>
    <xf numFmtId="0" fontId="6" fillId="0" borderId="0">
      <alignment horizontal="centerContinuous" vertical="center"/>
    </xf>
    <xf numFmtId="0" fontId="35" fillId="0" borderId="0" applyNumberFormat="0" applyFill="0" applyBorder="0" applyAlignment="0" applyProtection="0"/>
    <xf numFmtId="0" fontId="36" fillId="0" borderId="0"/>
  </cellStyleXfs>
  <cellXfs count="212">
    <xf numFmtId="0" fontId="0" fillId="0" borderId="0" xfId="0"/>
    <xf numFmtId="0" fontId="0" fillId="26" borderId="14" xfId="0" applyFill="1" applyBorder="1"/>
    <xf numFmtId="0" fontId="0" fillId="26" borderId="15" xfId="0" applyFill="1" applyBorder="1"/>
    <xf numFmtId="0" fontId="0" fillId="26" borderId="16" xfId="0" applyFill="1" applyBorder="1"/>
    <xf numFmtId="0" fontId="0" fillId="26" borderId="0" xfId="0" applyFill="1"/>
    <xf numFmtId="0" fontId="0" fillId="26" borderId="17" xfId="0" applyFill="1" applyBorder="1"/>
    <xf numFmtId="0" fontId="0" fillId="26" borderId="0" xfId="0" applyFill="1" applyBorder="1"/>
    <xf numFmtId="0" fontId="0" fillId="26" borderId="18" xfId="0" applyFill="1" applyBorder="1"/>
    <xf numFmtId="0" fontId="2" fillId="26" borderId="17" xfId="0" applyFont="1" applyFill="1" applyBorder="1"/>
    <xf numFmtId="0" fontId="2" fillId="26" borderId="0" xfId="0" applyFont="1" applyFill="1" applyBorder="1"/>
    <xf numFmtId="0" fontId="3" fillId="26" borderId="0" xfId="0" applyFont="1" applyFill="1" applyBorder="1" applyAlignment="1">
      <alignment wrapText="1"/>
    </xf>
    <xf numFmtId="0" fontId="2" fillId="26" borderId="18" xfId="0" applyFont="1" applyFill="1" applyBorder="1"/>
    <xf numFmtId="0" fontId="4" fillId="26" borderId="17" xfId="0" applyFont="1" applyFill="1" applyBorder="1"/>
    <xf numFmtId="0" fontId="5" fillId="26" borderId="0" xfId="0" applyFont="1" applyFill="1" applyBorder="1" applyAlignment="1"/>
    <xf numFmtId="0" fontId="4" fillId="26" borderId="0" xfId="0" applyFont="1" applyFill="1" applyBorder="1"/>
    <xf numFmtId="0" fontId="4" fillId="26" borderId="18" xfId="0" applyFont="1" applyFill="1" applyBorder="1"/>
    <xf numFmtId="0" fontId="6" fillId="26" borderId="0" xfId="0" applyFont="1" applyFill="1" applyBorder="1" applyAlignment="1">
      <alignment horizontal="left" wrapText="1"/>
    </xf>
    <xf numFmtId="0" fontId="7" fillId="26" borderId="17" xfId="0" applyFont="1" applyFill="1" applyBorder="1"/>
    <xf numFmtId="0" fontId="8" fillId="26" borderId="0" xfId="0" applyFont="1" applyFill="1"/>
    <xf numFmtId="0" fontId="7" fillId="26" borderId="0" xfId="0" applyFont="1" applyFill="1" applyBorder="1" applyAlignment="1"/>
    <xf numFmtId="0" fontId="7" fillId="26" borderId="0" xfId="0" applyFont="1" applyFill="1" applyBorder="1"/>
    <xf numFmtId="0" fontId="7" fillId="26" borderId="0" xfId="0" applyFont="1" applyFill="1" applyBorder="1" applyAlignment="1">
      <alignment horizontal="left" wrapText="1"/>
    </xf>
    <xf numFmtId="0" fontId="7" fillId="26" borderId="18" xfId="0" applyFont="1" applyFill="1" applyBorder="1"/>
    <xf numFmtId="0" fontId="9" fillId="26" borderId="17" xfId="0" applyFont="1" applyFill="1" applyBorder="1"/>
    <xf numFmtId="0" fontId="9" fillId="26" borderId="0" xfId="0" applyFont="1" applyFill="1" applyBorder="1"/>
    <xf numFmtId="0" fontId="9" fillId="26" borderId="0" xfId="0" applyFont="1" applyFill="1" applyBorder="1" applyAlignment="1">
      <alignment horizontal="left" wrapText="1"/>
    </xf>
    <xf numFmtId="0" fontId="9" fillId="26" borderId="18" xfId="0" applyFont="1" applyFill="1" applyBorder="1"/>
    <xf numFmtId="0" fontId="9" fillId="26" borderId="0" xfId="0" applyFont="1" applyFill="1" applyBorder="1" applyAlignment="1"/>
    <xf numFmtId="164" fontId="9" fillId="26" borderId="0" xfId="0" applyNumberFormat="1" applyFont="1" applyFill="1" applyBorder="1" applyAlignment="1"/>
    <xf numFmtId="164" fontId="9" fillId="26" borderId="0" xfId="0" applyNumberFormat="1" applyFont="1" applyFill="1" applyBorder="1" applyAlignment="1">
      <alignment horizontal="right"/>
    </xf>
    <xf numFmtId="0" fontId="10" fillId="26" borderId="17" xfId="0" applyFont="1" applyFill="1" applyBorder="1"/>
    <xf numFmtId="0" fontId="10" fillId="26" borderId="0" xfId="0" applyFont="1" applyFill="1" applyBorder="1"/>
    <xf numFmtId="0" fontId="10" fillId="26" borderId="18" xfId="0" applyFont="1" applyFill="1" applyBorder="1"/>
    <xf numFmtId="0" fontId="0" fillId="26" borderId="19" xfId="0" applyFill="1" applyBorder="1"/>
    <xf numFmtId="0" fontId="0" fillId="26" borderId="20" xfId="0" applyFill="1" applyBorder="1"/>
    <xf numFmtId="0" fontId="0" fillId="26" borderId="21" xfId="0" applyFill="1" applyBorder="1"/>
    <xf numFmtId="0" fontId="37" fillId="26" borderId="0" xfId="0" applyFont="1" applyFill="1" applyBorder="1" applyAlignment="1">
      <alignment vertical="top" wrapText="1"/>
    </xf>
    <xf numFmtId="0" fontId="38" fillId="26" borderId="0" xfId="0" applyFont="1" applyFill="1" applyBorder="1" applyAlignment="1">
      <alignment vertical="top" wrapText="1"/>
    </xf>
    <xf numFmtId="0" fontId="38" fillId="26" borderId="0" xfId="0" applyFont="1" applyFill="1" applyBorder="1" applyAlignment="1">
      <alignment horizontal="center" vertical="top" wrapText="1"/>
    </xf>
    <xf numFmtId="0" fontId="37" fillId="27" borderId="6" xfId="0" applyFont="1" applyFill="1" applyBorder="1" applyAlignment="1">
      <alignment horizontal="center" vertical="center" wrapText="1"/>
    </xf>
    <xf numFmtId="0" fontId="38" fillId="28" borderId="0" xfId="0" applyFont="1" applyFill="1" applyBorder="1" applyAlignment="1">
      <alignment vertical="top" wrapText="1"/>
    </xf>
    <xf numFmtId="0" fontId="38" fillId="28" borderId="0" xfId="0" applyFont="1" applyFill="1" applyBorder="1" applyAlignment="1">
      <alignment horizontal="center" vertical="top" wrapText="1"/>
    </xf>
    <xf numFmtId="0" fontId="0" fillId="28" borderId="0" xfId="0" applyFill="1"/>
    <xf numFmtId="0" fontId="40" fillId="28" borderId="0" xfId="0" applyFont="1" applyFill="1" applyBorder="1" applyAlignment="1">
      <alignment vertical="top" wrapText="1"/>
    </xf>
    <xf numFmtId="0" fontId="39" fillId="26" borderId="6" xfId="0" applyFont="1" applyFill="1" applyBorder="1" applyAlignment="1">
      <alignment horizontal="left" vertical="center" wrapText="1"/>
    </xf>
    <xf numFmtId="0" fontId="40" fillId="28" borderId="0" xfId="0" applyFont="1" applyFill="1" applyBorder="1" applyAlignment="1">
      <alignment vertical="top"/>
    </xf>
    <xf numFmtId="0" fontId="0" fillId="26" borderId="0" xfId="0" applyFill="1" applyAlignment="1">
      <alignment wrapText="1"/>
    </xf>
    <xf numFmtId="0" fontId="0" fillId="26" borderId="6" xfId="0" applyFill="1" applyBorder="1" applyAlignment="1">
      <alignment wrapText="1"/>
    </xf>
    <xf numFmtId="0" fontId="41" fillId="26" borderId="0" xfId="0" applyFont="1" applyFill="1" applyBorder="1" applyAlignment="1">
      <alignment horizontal="left" vertical="top" wrapText="1"/>
    </xf>
    <xf numFmtId="0" fontId="43" fillId="26" borderId="6" xfId="0" applyFont="1" applyFill="1" applyBorder="1" applyAlignment="1">
      <alignment horizontal="center" vertical="center" wrapText="1"/>
    </xf>
    <xf numFmtId="0" fontId="44" fillId="29" borderId="6" xfId="0" applyFont="1" applyFill="1" applyBorder="1" applyAlignment="1">
      <alignment horizontal="center" vertical="center" wrapText="1"/>
    </xf>
    <xf numFmtId="0" fontId="37" fillId="26" borderId="6" xfId="0" applyFont="1" applyFill="1" applyBorder="1" applyAlignment="1">
      <alignment horizontal="center" vertical="center" wrapText="1"/>
    </xf>
    <xf numFmtId="9" fontId="43" fillId="26" borderId="22" xfId="0" applyNumberFormat="1" applyFont="1" applyFill="1" applyBorder="1" applyAlignment="1">
      <alignment horizontal="center" vertical="center" wrapText="1"/>
    </xf>
    <xf numFmtId="0" fontId="42" fillId="30" borderId="6" xfId="0" applyFont="1" applyFill="1" applyBorder="1" applyAlignment="1">
      <alignment horizontal="center" wrapText="1"/>
    </xf>
    <xf numFmtId="0" fontId="42" fillId="30" borderId="6" xfId="0" applyFont="1" applyFill="1" applyBorder="1" applyAlignment="1">
      <alignment horizontal="center"/>
    </xf>
    <xf numFmtId="0" fontId="42" fillId="26" borderId="6" xfId="0" applyFont="1" applyFill="1" applyBorder="1" applyAlignment="1">
      <alignment horizontal="center"/>
    </xf>
    <xf numFmtId="9" fontId="42" fillId="26" borderId="6" xfId="0" applyNumberFormat="1" applyFont="1" applyFill="1" applyBorder="1" applyAlignment="1">
      <alignment horizontal="center"/>
    </xf>
    <xf numFmtId="0" fontId="0" fillId="26" borderId="6" xfId="0" applyFill="1" applyBorder="1" applyAlignment="1">
      <alignment horizontal="left"/>
    </xf>
    <xf numFmtId="0" fontId="42" fillId="26" borderId="6" xfId="0" applyFont="1" applyFill="1" applyBorder="1" applyAlignment="1">
      <alignment horizontal="left"/>
    </xf>
    <xf numFmtId="0" fontId="40" fillId="26" borderId="0" xfId="0" applyFont="1" applyFill="1" applyBorder="1" applyAlignment="1">
      <alignment vertical="top" wrapText="1"/>
    </xf>
    <xf numFmtId="0" fontId="1" fillId="26" borderId="6" xfId="0" applyFont="1" applyFill="1" applyBorder="1" applyAlignment="1">
      <alignment horizontal="center" vertical="center" wrapText="1"/>
    </xf>
    <xf numFmtId="0" fontId="40" fillId="26" borderId="0" xfId="0" applyFont="1" applyFill="1" applyBorder="1" applyAlignment="1">
      <alignment vertical="top"/>
    </xf>
    <xf numFmtId="10" fontId="0" fillId="26" borderId="6" xfId="0" applyNumberFormat="1" applyFill="1" applyBorder="1" applyAlignment="1">
      <alignment wrapText="1"/>
    </xf>
    <xf numFmtId="10" fontId="40" fillId="29" borderId="22" xfId="0" applyNumberFormat="1" applyFont="1" applyFill="1" applyBorder="1" applyAlignment="1">
      <alignment vertical="center" wrapText="1"/>
    </xf>
    <xf numFmtId="10" fontId="40" fillId="29" borderId="23" xfId="0" applyNumberFormat="1" applyFont="1" applyFill="1" applyBorder="1" applyAlignment="1">
      <alignment vertical="center" wrapText="1"/>
    </xf>
    <xf numFmtId="0" fontId="48" fillId="26" borderId="0" xfId="0" applyFont="1" applyFill="1" applyAlignment="1">
      <alignment wrapText="1"/>
    </xf>
    <xf numFmtId="9" fontId="0" fillId="26" borderId="6" xfId="0" applyNumberFormat="1" applyFill="1" applyBorder="1" applyAlignment="1">
      <alignment horizontal="center"/>
    </xf>
    <xf numFmtId="10" fontId="42" fillId="26" borderId="6" xfId="0" applyNumberFormat="1" applyFont="1" applyFill="1" applyBorder="1" applyAlignment="1">
      <alignment wrapText="1"/>
    </xf>
    <xf numFmtId="0" fontId="37" fillId="31" borderId="0" xfId="0" applyFont="1" applyFill="1" applyBorder="1" applyAlignment="1">
      <alignment horizontal="left" vertical="top" wrapText="1"/>
    </xf>
    <xf numFmtId="0" fontId="49" fillId="26" borderId="6" xfId="0" applyFont="1" applyFill="1" applyBorder="1" applyAlignment="1">
      <alignment horizontal="left"/>
    </xf>
    <xf numFmtId="0" fontId="50" fillId="26" borderId="6" xfId="0" applyFont="1" applyFill="1" applyBorder="1" applyAlignment="1">
      <alignment horizontal="left"/>
    </xf>
    <xf numFmtId="0" fontId="51" fillId="26" borderId="6" xfId="0" applyFont="1" applyFill="1" applyBorder="1" applyAlignment="1">
      <alignment horizontal="left"/>
    </xf>
    <xf numFmtId="0" fontId="37" fillId="27" borderId="24" xfId="0" applyFont="1" applyFill="1" applyBorder="1" applyAlignment="1">
      <alignment vertical="center" wrapText="1"/>
    </xf>
    <xf numFmtId="0" fontId="37" fillId="27" borderId="22" xfId="0" applyFont="1" applyFill="1" applyBorder="1" applyAlignment="1">
      <alignment vertical="center" wrapText="1"/>
    </xf>
    <xf numFmtId="0" fontId="37" fillId="27" borderId="10" xfId="0" applyFont="1" applyFill="1" applyBorder="1" applyAlignment="1">
      <alignment vertical="center" wrapText="1"/>
    </xf>
    <xf numFmtId="0" fontId="37" fillId="27" borderId="25" xfId="0" applyFont="1" applyFill="1" applyBorder="1" applyAlignment="1">
      <alignment vertical="center" wrapText="1"/>
    </xf>
    <xf numFmtId="0" fontId="46" fillId="29" borderId="26" xfId="0" applyFont="1" applyFill="1" applyBorder="1" applyAlignment="1">
      <alignment vertical="center"/>
    </xf>
    <xf numFmtId="0" fontId="37" fillId="27" borderId="24" xfId="0" applyFont="1" applyFill="1" applyBorder="1" applyAlignment="1">
      <alignment horizontal="center" vertical="center" wrapText="1"/>
    </xf>
    <xf numFmtId="0" fontId="37" fillId="27" borderId="10" xfId="0" applyFont="1" applyFill="1" applyBorder="1" applyAlignment="1">
      <alignment horizontal="center" vertical="center" wrapText="1"/>
    </xf>
    <xf numFmtId="0" fontId="37" fillId="27" borderId="25" xfId="0" applyFont="1" applyFill="1" applyBorder="1" applyAlignment="1">
      <alignment horizontal="center" vertical="center" wrapText="1"/>
    </xf>
    <xf numFmtId="0" fontId="37" fillId="27" borderId="10" xfId="0" applyFont="1" applyFill="1" applyBorder="1" applyAlignment="1">
      <alignment horizontal="center" vertical="justify" wrapText="1"/>
    </xf>
    <xf numFmtId="0" fontId="37" fillId="27" borderId="25" xfId="0" applyFont="1" applyFill="1" applyBorder="1" applyAlignment="1">
      <alignment horizontal="center" vertical="justify" wrapText="1"/>
    </xf>
    <xf numFmtId="0" fontId="37" fillId="27" borderId="22" xfId="0" applyFont="1" applyFill="1" applyBorder="1" applyAlignment="1">
      <alignment horizontal="centerContinuous" vertical="center" wrapText="1"/>
    </xf>
    <xf numFmtId="0" fontId="37" fillId="27" borderId="26" xfId="0" applyFont="1" applyFill="1" applyBorder="1" applyAlignment="1">
      <alignment horizontal="centerContinuous" vertical="center" wrapText="1"/>
    </xf>
    <xf numFmtId="0" fontId="43" fillId="32" borderId="27" xfId="0" applyFont="1" applyFill="1" applyBorder="1" applyAlignment="1">
      <alignment horizontal="centerContinuous" vertical="center" wrapText="1"/>
    </xf>
    <xf numFmtId="0" fontId="52" fillId="29" borderId="26" xfId="0" applyFont="1" applyFill="1" applyBorder="1" applyAlignment="1">
      <alignment vertical="center"/>
    </xf>
    <xf numFmtId="0" fontId="52" fillId="29" borderId="23" xfId="0" applyFont="1" applyFill="1" applyBorder="1" applyAlignment="1">
      <alignment vertical="center"/>
    </xf>
    <xf numFmtId="0" fontId="49" fillId="29" borderId="6" xfId="0" applyFont="1" applyFill="1" applyBorder="1" applyAlignment="1">
      <alignment horizontal="center" vertical="center" wrapText="1"/>
    </xf>
    <xf numFmtId="0" fontId="40" fillId="29" borderId="26" xfId="0" applyFont="1" applyFill="1" applyBorder="1" applyAlignment="1">
      <alignment horizontal="centerContinuous" vertical="center" wrapText="1"/>
    </xf>
    <xf numFmtId="0" fontId="40" fillId="29" borderId="23" xfId="0" applyFont="1" applyFill="1" applyBorder="1" applyAlignment="1">
      <alignment horizontal="centerContinuous" vertical="center" wrapText="1"/>
    </xf>
    <xf numFmtId="9" fontId="49" fillId="26" borderId="6" xfId="0" applyNumberFormat="1" applyFont="1" applyFill="1" applyBorder="1" applyAlignment="1">
      <alignment horizontal="center"/>
    </xf>
    <xf numFmtId="0" fontId="42" fillId="26" borderId="0" xfId="0" applyFont="1" applyFill="1" applyAlignment="1">
      <alignment wrapText="1"/>
    </xf>
    <xf numFmtId="0" fontId="0" fillId="28" borderId="0" xfId="0" applyFill="1" applyAlignment="1">
      <alignment horizontal="center"/>
    </xf>
    <xf numFmtId="0" fontId="0" fillId="26" borderId="0" xfId="0" applyFill="1" applyAlignment="1">
      <alignment horizontal="center"/>
    </xf>
    <xf numFmtId="0" fontId="0" fillId="26" borderId="0" xfId="0" applyFill="1" applyAlignment="1">
      <alignment horizontal="center" wrapText="1"/>
    </xf>
    <xf numFmtId="0" fontId="40" fillId="29" borderId="23" xfId="0" applyFont="1" applyFill="1" applyBorder="1" applyAlignment="1">
      <alignment horizontal="center" vertical="center" wrapText="1"/>
    </xf>
    <xf numFmtId="0" fontId="43" fillId="32" borderId="28" xfId="0" applyFont="1" applyFill="1" applyBorder="1" applyAlignment="1">
      <alignment horizontal="center" vertical="center" wrapText="1"/>
    </xf>
    <xf numFmtId="9" fontId="43" fillId="26" borderId="6" xfId="52" applyFont="1" applyFill="1" applyBorder="1" applyAlignment="1">
      <alignment horizontal="center" vertical="center" wrapText="1"/>
    </xf>
    <xf numFmtId="0" fontId="40" fillId="0" borderId="0" xfId="0" applyFont="1" applyFill="1" applyBorder="1" applyAlignment="1">
      <alignment vertical="top"/>
    </xf>
    <xf numFmtId="0" fontId="38" fillId="0" borderId="0" xfId="0" applyFont="1" applyFill="1" applyBorder="1" applyAlignment="1">
      <alignment horizontal="center" vertical="top" wrapText="1"/>
    </xf>
    <xf numFmtId="0" fontId="0" fillId="0" borderId="0" xfId="0" applyFill="1"/>
    <xf numFmtId="0" fontId="53" fillId="33" borderId="0" xfId="0" applyFont="1" applyFill="1" applyAlignment="1" applyProtection="1">
      <alignment horizontal="center" vertical="top"/>
    </xf>
    <xf numFmtId="0" fontId="54" fillId="26" borderId="0" xfId="0" applyFont="1" applyFill="1" applyAlignment="1" applyProtection="1">
      <alignment horizontal="center" vertical="top"/>
    </xf>
    <xf numFmtId="0" fontId="55" fillId="34" borderId="6" xfId="0" applyFont="1" applyFill="1" applyBorder="1" applyAlignment="1" applyProtection="1">
      <alignment horizontal="center" vertical="top"/>
    </xf>
    <xf numFmtId="0" fontId="54" fillId="26" borderId="0" xfId="0" applyFont="1" applyFill="1" applyBorder="1" applyAlignment="1" applyProtection="1">
      <alignment horizontal="center" vertical="top"/>
    </xf>
    <xf numFmtId="0" fontId="47" fillId="32" borderId="22" xfId="0" applyFont="1" applyFill="1" applyBorder="1" applyAlignment="1">
      <alignment vertical="top"/>
    </xf>
    <xf numFmtId="0" fontId="47" fillId="32" borderId="23" xfId="0" applyFont="1" applyFill="1" applyBorder="1" applyAlignment="1">
      <alignment vertical="top"/>
    </xf>
    <xf numFmtId="0" fontId="47" fillId="32" borderId="26" xfId="0" applyFont="1" applyFill="1" applyBorder="1"/>
    <xf numFmtId="0" fontId="0" fillId="32" borderId="23" xfId="0" applyFill="1" applyBorder="1"/>
    <xf numFmtId="0" fontId="0" fillId="32" borderId="22" xfId="0" applyFill="1" applyBorder="1" applyAlignment="1">
      <alignment wrapText="1"/>
    </xf>
    <xf numFmtId="0" fontId="0" fillId="32" borderId="23" xfId="0" applyFill="1" applyBorder="1" applyAlignment="1">
      <alignment wrapText="1"/>
    </xf>
    <xf numFmtId="0" fontId="0" fillId="0" borderId="0" xfId="0" applyFill="1" applyBorder="1" applyAlignment="1">
      <alignment wrapText="1"/>
    </xf>
    <xf numFmtId="0" fontId="55" fillId="34" borderId="6" xfId="0" applyFont="1" applyFill="1" applyBorder="1" applyAlignment="1" applyProtection="1">
      <alignment horizontal="center" vertical="top"/>
    </xf>
    <xf numFmtId="0" fontId="40" fillId="29" borderId="22" xfId="0" applyFont="1" applyFill="1" applyBorder="1" applyAlignment="1">
      <alignment vertical="center"/>
    </xf>
    <xf numFmtId="0" fontId="51" fillId="26" borderId="6" xfId="0" applyFont="1" applyFill="1" applyBorder="1" applyAlignment="1">
      <alignment horizontal="left" vertical="center" wrapText="1"/>
    </xf>
    <xf numFmtId="0" fontId="51" fillId="26" borderId="6" xfId="0" applyFont="1" applyFill="1" applyBorder="1" applyAlignment="1">
      <alignment horizontal="left" vertical="center"/>
    </xf>
    <xf numFmtId="0" fontId="56" fillId="26" borderId="0" xfId="0" applyFont="1" applyFill="1"/>
    <xf numFmtId="0" fontId="9" fillId="26" borderId="0" xfId="0" quotePrefix="1" applyFont="1" applyFill="1" applyBorder="1" applyAlignment="1">
      <alignment horizontal="right"/>
    </xf>
    <xf numFmtId="0" fontId="6" fillId="26" borderId="0" xfId="0" quotePrefix="1" applyFont="1" applyFill="1" applyBorder="1"/>
    <xf numFmtId="168" fontId="0" fillId="26" borderId="6" xfId="0" applyNumberFormat="1" applyFill="1" applyBorder="1" applyAlignment="1">
      <alignment horizontal="center"/>
    </xf>
    <xf numFmtId="10" fontId="45" fillId="29" borderId="6" xfId="52" applyNumberFormat="1" applyFont="1" applyFill="1" applyBorder="1" applyAlignment="1">
      <alignment horizontal="center"/>
    </xf>
    <xf numFmtId="0" fontId="1" fillId="32" borderId="22" xfId="0" applyFont="1" applyFill="1" applyBorder="1" applyAlignment="1">
      <alignment wrapText="1"/>
    </xf>
    <xf numFmtId="0" fontId="37" fillId="27" borderId="6" xfId="0" applyFont="1" applyFill="1" applyBorder="1" applyAlignment="1">
      <alignment horizontal="center" vertical="center" wrapText="1"/>
    </xf>
    <xf numFmtId="15" fontId="0" fillId="26" borderId="0" xfId="0" applyNumberFormat="1" applyFill="1" applyBorder="1"/>
    <xf numFmtId="0" fontId="43" fillId="32" borderId="6" xfId="0" applyFont="1" applyFill="1" applyBorder="1" applyAlignment="1">
      <alignment horizontal="center" vertical="center" wrapText="1"/>
    </xf>
    <xf numFmtId="10" fontId="42" fillId="26" borderId="6" xfId="52" applyNumberFormat="1" applyFont="1" applyFill="1" applyBorder="1" applyAlignment="1">
      <alignment wrapText="1"/>
    </xf>
    <xf numFmtId="0" fontId="57" fillId="26" borderId="6" xfId="0" applyFont="1" applyFill="1" applyBorder="1" applyAlignment="1">
      <alignment vertical="center" wrapText="1"/>
    </xf>
    <xf numFmtId="0" fontId="1" fillId="26" borderId="6" xfId="0" applyFont="1" applyFill="1" applyBorder="1" applyAlignment="1">
      <alignment vertical="center" wrapText="1"/>
    </xf>
    <xf numFmtId="0" fontId="1" fillId="26" borderId="6" xfId="0" applyFont="1" applyFill="1" applyBorder="1" applyAlignment="1">
      <alignment horizontal="left" vertical="center" wrapText="1"/>
    </xf>
    <xf numFmtId="0" fontId="43" fillId="26" borderId="23" xfId="0" applyFont="1" applyFill="1" applyBorder="1" applyAlignment="1">
      <alignment horizontal="center" vertical="center" wrapText="1"/>
    </xf>
    <xf numFmtId="0" fontId="58" fillId="26" borderId="6" xfId="0" applyFont="1" applyFill="1" applyBorder="1" applyAlignment="1">
      <alignment vertical="center" wrapText="1"/>
    </xf>
    <xf numFmtId="0" fontId="0" fillId="26" borderId="6" xfId="0" applyFill="1" applyBorder="1" applyAlignment="1">
      <alignment horizontal="center" vertical="center" wrapText="1"/>
    </xf>
    <xf numFmtId="0" fontId="59" fillId="0" borderId="6" xfId="0" applyFont="1" applyFill="1" applyBorder="1" applyAlignment="1">
      <alignment vertical="center" wrapText="1"/>
    </xf>
    <xf numFmtId="0" fontId="59" fillId="0" borderId="29" xfId="0" applyFont="1" applyFill="1" applyBorder="1" applyAlignment="1">
      <alignment vertical="center" wrapText="1"/>
    </xf>
    <xf numFmtId="0" fontId="59" fillId="0" borderId="30" xfId="0" applyFont="1" applyFill="1" applyBorder="1" applyAlignment="1">
      <alignment vertical="center" wrapText="1"/>
    </xf>
    <xf numFmtId="0" fontId="59" fillId="0" borderId="31" xfId="0" applyFont="1" applyFill="1" applyBorder="1" applyAlignment="1">
      <alignment vertical="center" wrapText="1"/>
    </xf>
    <xf numFmtId="0" fontId="42" fillId="26" borderId="6" xfId="0" applyNumberFormat="1" applyFont="1" applyFill="1" applyBorder="1" applyAlignment="1">
      <alignment wrapText="1"/>
    </xf>
    <xf numFmtId="0" fontId="1" fillId="26" borderId="17" xfId="0" applyFont="1" applyFill="1" applyBorder="1" applyAlignment="1">
      <alignment horizontal="left" vertical="center" indent="2"/>
    </xf>
    <xf numFmtId="0" fontId="0" fillId="26" borderId="0" xfId="0" applyFill="1" applyBorder="1" applyAlignment="1">
      <alignment horizontal="left" vertical="center" indent="2"/>
    </xf>
    <xf numFmtId="0" fontId="0" fillId="26" borderId="17" xfId="0" applyFill="1" applyBorder="1" applyAlignment="1">
      <alignment horizontal="left" vertical="center" indent="2"/>
    </xf>
    <xf numFmtId="0" fontId="54" fillId="26" borderId="24" xfId="0" applyFont="1" applyFill="1" applyBorder="1" applyAlignment="1" applyProtection="1">
      <alignment vertical="center" wrapText="1"/>
    </xf>
    <xf numFmtId="0" fontId="54" fillId="26" borderId="25" xfId="0" applyFont="1" applyFill="1" applyBorder="1" applyAlignment="1" applyProtection="1">
      <alignment vertical="center"/>
    </xf>
    <xf numFmtId="14" fontId="54" fillId="26" borderId="24" xfId="0" applyNumberFormat="1" applyFont="1" applyFill="1" applyBorder="1" applyAlignment="1" applyProtection="1">
      <alignment horizontal="center" vertical="center"/>
    </xf>
    <xf numFmtId="0" fontId="54" fillId="26" borderId="25" xfId="0" applyFont="1" applyFill="1" applyBorder="1" applyAlignment="1" applyProtection="1">
      <alignment horizontal="center" vertical="center"/>
    </xf>
    <xf numFmtId="0" fontId="54" fillId="26" borderId="14" xfId="0" applyFont="1" applyFill="1" applyBorder="1" applyAlignment="1" applyProtection="1">
      <alignment vertical="top" wrapText="1"/>
    </xf>
    <xf numFmtId="0" fontId="54" fillId="26" borderId="16" xfId="0" applyFont="1" applyFill="1" applyBorder="1" applyAlignment="1" applyProtection="1">
      <alignment vertical="top"/>
    </xf>
    <xf numFmtId="0" fontId="54" fillId="26" borderId="19" xfId="0" applyFont="1" applyFill="1" applyBorder="1" applyAlignment="1" applyProtection="1">
      <alignment vertical="top"/>
    </xf>
    <xf numFmtId="0" fontId="54" fillId="26" borderId="21" xfId="0" applyFont="1" applyFill="1" applyBorder="1" applyAlignment="1" applyProtection="1">
      <alignment vertical="top"/>
    </xf>
    <xf numFmtId="0" fontId="42" fillId="30" borderId="6" xfId="0" applyFont="1" applyFill="1" applyBorder="1" applyAlignment="1">
      <alignment horizontal="center"/>
    </xf>
    <xf numFmtId="0" fontId="0" fillId="26" borderId="24" xfId="0" applyFill="1" applyBorder="1" applyAlignment="1">
      <alignment horizontal="center"/>
    </xf>
    <xf numFmtId="0" fontId="0" fillId="26" borderId="10" xfId="0" applyFill="1" applyBorder="1" applyAlignment="1">
      <alignment horizontal="center"/>
    </xf>
    <xf numFmtId="0" fontId="0" fillId="26" borderId="25" xfId="0" applyFill="1" applyBorder="1" applyAlignment="1">
      <alignment horizontal="center"/>
    </xf>
    <xf numFmtId="0" fontId="6" fillId="26" borderId="14" xfId="0" applyFont="1" applyFill="1" applyBorder="1" applyAlignment="1">
      <alignment horizontal="left" vertical="center"/>
    </xf>
    <xf numFmtId="0" fontId="0" fillId="26" borderId="16" xfId="0" applyFill="1" applyBorder="1" applyAlignment="1">
      <alignment horizontal="left" vertical="center"/>
    </xf>
    <xf numFmtId="0" fontId="0" fillId="26" borderId="17" xfId="0" applyFill="1" applyBorder="1" applyAlignment="1">
      <alignment horizontal="left" vertical="center"/>
    </xf>
    <xf numFmtId="0" fontId="0" fillId="26" borderId="18" xfId="0" applyFill="1" applyBorder="1" applyAlignment="1">
      <alignment horizontal="left" vertical="center"/>
    </xf>
    <xf numFmtId="0" fontId="0" fillId="26" borderId="19" xfId="0" applyFill="1" applyBorder="1" applyAlignment="1">
      <alignment horizontal="left" vertical="center"/>
    </xf>
    <xf numFmtId="0" fontId="0" fillId="26" borderId="21" xfId="0" applyFill="1" applyBorder="1" applyAlignment="1">
      <alignment horizontal="left" vertical="center"/>
    </xf>
    <xf numFmtId="0" fontId="38" fillId="26" borderId="22" xfId="0" applyFont="1" applyFill="1" applyBorder="1" applyAlignment="1">
      <alignment horizontal="left"/>
    </xf>
    <xf numFmtId="0" fontId="38" fillId="26" borderId="23" xfId="0" applyFont="1" applyFill="1" applyBorder="1" applyAlignment="1">
      <alignment horizontal="left"/>
    </xf>
    <xf numFmtId="0" fontId="55" fillId="34" borderId="6" xfId="0" applyFont="1" applyFill="1" applyBorder="1" applyAlignment="1" applyProtection="1">
      <alignment horizontal="center" vertical="top"/>
    </xf>
    <xf numFmtId="0" fontId="54" fillId="26" borderId="24" xfId="0" applyFont="1" applyFill="1" applyBorder="1" applyAlignment="1" applyProtection="1">
      <alignment horizontal="left" vertical="center" wrapText="1"/>
    </xf>
    <xf numFmtId="0" fontId="54" fillId="26" borderId="25" xfId="0" applyFont="1" applyFill="1" applyBorder="1" applyAlignment="1" applyProtection="1">
      <alignment horizontal="left" vertical="center"/>
    </xf>
    <xf numFmtId="0" fontId="37" fillId="27" borderId="22" xfId="0" applyFont="1" applyFill="1" applyBorder="1" applyAlignment="1">
      <alignment horizontal="center" vertical="center" wrapText="1"/>
    </xf>
    <xf numFmtId="0" fontId="37" fillId="27" borderId="26" xfId="0" applyFont="1" applyFill="1" applyBorder="1" applyAlignment="1">
      <alignment horizontal="center" vertical="center" wrapText="1"/>
    </xf>
    <xf numFmtId="0" fontId="37" fillId="27" borderId="23" xfId="0" applyFont="1" applyFill="1" applyBorder="1" applyAlignment="1">
      <alignment horizontal="center" vertical="center" wrapText="1"/>
    </xf>
    <xf numFmtId="0" fontId="40" fillId="29" borderId="22" xfId="0" applyFont="1" applyFill="1" applyBorder="1" applyAlignment="1">
      <alignment horizontal="left" vertical="center"/>
    </xf>
    <xf numFmtId="0" fontId="40" fillId="29" borderId="26" xfId="0" applyFont="1" applyFill="1" applyBorder="1" applyAlignment="1">
      <alignment horizontal="left" vertical="center"/>
    </xf>
    <xf numFmtId="0" fontId="40" fillId="29" borderId="23" xfId="0" applyFont="1" applyFill="1" applyBorder="1" applyAlignment="1">
      <alignment horizontal="left" vertical="center"/>
    </xf>
    <xf numFmtId="0" fontId="37" fillId="27" borderId="16" xfId="0" applyFont="1" applyFill="1" applyBorder="1" applyAlignment="1">
      <alignment horizontal="center" vertical="center" wrapText="1"/>
    </xf>
    <xf numFmtId="0" fontId="37" fillId="27" borderId="18" xfId="0" applyFont="1" applyFill="1" applyBorder="1" applyAlignment="1">
      <alignment horizontal="center" vertical="center" wrapText="1"/>
    </xf>
    <xf numFmtId="0" fontId="37" fillId="27" borderId="21" xfId="0" applyFont="1" applyFill="1" applyBorder="1" applyAlignment="1">
      <alignment horizontal="center" vertical="center" wrapText="1"/>
    </xf>
    <xf numFmtId="0" fontId="37" fillId="27" borderId="10" xfId="0" applyFont="1" applyFill="1" applyBorder="1" applyAlignment="1">
      <alignment horizontal="center" vertical="center" wrapText="1"/>
    </xf>
    <xf numFmtId="0" fontId="37" fillId="27" borderId="25" xfId="0" applyFont="1" applyFill="1" applyBorder="1" applyAlignment="1">
      <alignment horizontal="center" vertical="center" wrapText="1"/>
    </xf>
    <xf numFmtId="0" fontId="0" fillId="26" borderId="14" xfId="0" applyFill="1" applyBorder="1" applyAlignment="1">
      <alignment horizontal="center" wrapText="1"/>
    </xf>
    <xf numFmtId="0" fontId="0" fillId="26" borderId="15" xfId="0" applyFill="1" applyBorder="1" applyAlignment="1">
      <alignment horizontal="center" wrapText="1"/>
    </xf>
    <xf numFmtId="0" fontId="0" fillId="26" borderId="16" xfId="0" applyFill="1" applyBorder="1" applyAlignment="1">
      <alignment horizontal="center" wrapText="1"/>
    </xf>
    <xf numFmtId="0" fontId="0" fillId="26" borderId="17" xfId="0" applyFill="1" applyBorder="1" applyAlignment="1">
      <alignment horizontal="center" wrapText="1"/>
    </xf>
    <xf numFmtId="0" fontId="0" fillId="26" borderId="0" xfId="0" applyFill="1" applyBorder="1" applyAlignment="1">
      <alignment horizontal="center" wrapText="1"/>
    </xf>
    <xf numFmtId="0" fontId="0" fillId="26" borderId="18" xfId="0" applyFill="1" applyBorder="1" applyAlignment="1">
      <alignment horizontal="center" wrapText="1"/>
    </xf>
    <xf numFmtId="0" fontId="0" fillId="26" borderId="19" xfId="0" applyFill="1" applyBorder="1" applyAlignment="1">
      <alignment horizontal="center" wrapText="1"/>
    </xf>
    <xf numFmtId="0" fontId="0" fillId="26" borderId="20" xfId="0" applyFill="1" applyBorder="1" applyAlignment="1">
      <alignment horizontal="center" wrapText="1"/>
    </xf>
    <xf numFmtId="0" fontId="0" fillId="26" borderId="21" xfId="0" applyFill="1" applyBorder="1" applyAlignment="1">
      <alignment horizontal="center" wrapText="1"/>
    </xf>
    <xf numFmtId="0" fontId="1" fillId="32" borderId="22" xfId="0" applyFont="1" applyFill="1" applyBorder="1" applyAlignment="1">
      <alignment vertical="center" wrapText="1"/>
    </xf>
    <xf numFmtId="0" fontId="0" fillId="32" borderId="26" xfId="0" applyFill="1" applyBorder="1" applyAlignment="1">
      <alignment vertical="center" wrapText="1"/>
    </xf>
    <xf numFmtId="0" fontId="0" fillId="32" borderId="23" xfId="0" applyFill="1" applyBorder="1" applyAlignment="1">
      <alignment vertical="center" wrapText="1"/>
    </xf>
    <xf numFmtId="0" fontId="6" fillId="26" borderId="14" xfId="0" applyFont="1" applyFill="1" applyBorder="1" applyAlignment="1">
      <alignment horizontal="left" vertical="center" wrapText="1"/>
    </xf>
    <xf numFmtId="0" fontId="0" fillId="26" borderId="15" xfId="0" applyFill="1" applyBorder="1" applyAlignment="1">
      <alignment horizontal="left" vertical="center" wrapText="1"/>
    </xf>
    <xf numFmtId="0" fontId="0" fillId="26" borderId="16" xfId="0" applyFill="1" applyBorder="1" applyAlignment="1">
      <alignment horizontal="left" vertical="center" wrapText="1"/>
    </xf>
    <xf numFmtId="0" fontId="0" fillId="26" borderId="17" xfId="0" applyFill="1" applyBorder="1" applyAlignment="1">
      <alignment horizontal="left" vertical="center" wrapText="1"/>
    </xf>
    <xf numFmtId="0" fontId="0" fillId="26" borderId="0" xfId="0" applyFill="1" applyBorder="1" applyAlignment="1">
      <alignment horizontal="left" vertical="center" wrapText="1"/>
    </xf>
    <xf numFmtId="0" fontId="0" fillId="26" borderId="18" xfId="0" applyFill="1" applyBorder="1" applyAlignment="1">
      <alignment horizontal="left" vertical="center" wrapText="1"/>
    </xf>
    <xf numFmtId="0" fontId="0" fillId="26" borderId="19" xfId="0" applyFill="1" applyBorder="1" applyAlignment="1">
      <alignment horizontal="left" vertical="center" wrapText="1"/>
    </xf>
    <xf numFmtId="0" fontId="0" fillId="26" borderId="20" xfId="0" applyFill="1" applyBorder="1" applyAlignment="1">
      <alignment horizontal="left" vertical="center" wrapText="1"/>
    </xf>
    <xf numFmtId="0" fontId="0" fillId="26" borderId="21" xfId="0" applyFill="1" applyBorder="1" applyAlignment="1">
      <alignment horizontal="left" vertical="center" wrapText="1"/>
    </xf>
    <xf numFmtId="0" fontId="38" fillId="26" borderId="22" xfId="0" applyFont="1" applyFill="1" applyBorder="1" applyAlignment="1">
      <alignment horizontal="left" wrapText="1"/>
    </xf>
    <xf numFmtId="0" fontId="38" fillId="26" borderId="26" xfId="0" applyFont="1" applyFill="1" applyBorder="1" applyAlignment="1">
      <alignment horizontal="left" wrapText="1"/>
    </xf>
    <xf numFmtId="0" fontId="38" fillId="26" borderId="23" xfId="0" applyFont="1" applyFill="1" applyBorder="1" applyAlignment="1">
      <alignment horizontal="left" wrapText="1"/>
    </xf>
    <xf numFmtId="0" fontId="0" fillId="32" borderId="22" xfId="0" applyFill="1" applyBorder="1" applyAlignment="1">
      <alignment wrapText="1"/>
    </xf>
    <xf numFmtId="0" fontId="0" fillId="32" borderId="23" xfId="0" applyFill="1" applyBorder="1" applyAlignment="1">
      <alignment wrapText="1"/>
    </xf>
    <xf numFmtId="0" fontId="1" fillId="32" borderId="22" xfId="0" applyFont="1" applyFill="1" applyBorder="1" applyAlignment="1">
      <alignment horizontal="center" vertical="center" wrapText="1"/>
    </xf>
    <xf numFmtId="0" fontId="1" fillId="32" borderId="23" xfId="0" applyFont="1" applyFill="1" applyBorder="1" applyAlignment="1">
      <alignment horizontal="center" vertical="center" wrapText="1"/>
    </xf>
    <xf numFmtId="0" fontId="37" fillId="27" borderId="6" xfId="0" applyFont="1" applyFill="1" applyBorder="1" applyAlignment="1">
      <alignment horizontal="center" vertical="center" wrapText="1"/>
    </xf>
    <xf numFmtId="0" fontId="39" fillId="26" borderId="6" xfId="0" applyFont="1" applyFill="1" applyBorder="1" applyAlignment="1">
      <alignment horizontal="center" vertical="center" wrapText="1"/>
    </xf>
    <xf numFmtId="0" fontId="38" fillId="0" borderId="6" xfId="0" applyFont="1" applyBorder="1" applyAlignment="1">
      <alignment horizontal="center" vertical="top" wrapText="1"/>
    </xf>
    <xf numFmtId="0" fontId="37" fillId="26" borderId="24" xfId="0" applyFont="1" applyFill="1" applyBorder="1" applyAlignment="1">
      <alignment horizontal="center" vertical="center"/>
    </xf>
    <xf numFmtId="0" fontId="37" fillId="26" borderId="10" xfId="0" applyFont="1" applyFill="1" applyBorder="1" applyAlignment="1">
      <alignment horizontal="center" vertical="center"/>
    </xf>
    <xf numFmtId="0" fontId="37" fillId="26" borderId="25" xfId="0" applyFont="1" applyFill="1" applyBorder="1" applyAlignment="1">
      <alignment horizontal="center" vertical="center"/>
    </xf>
    <xf numFmtId="0" fontId="37" fillId="27" borderId="6" xfId="0" applyFont="1" applyFill="1" applyBorder="1" applyAlignment="1">
      <alignment horizontal="center" vertical="center"/>
    </xf>
    <xf numFmtId="0" fontId="39" fillId="26" borderId="24" xfId="0" applyFont="1" applyFill="1" applyBorder="1" applyAlignment="1">
      <alignment horizontal="center" vertical="center" wrapText="1"/>
    </xf>
    <xf numFmtId="0" fontId="39" fillId="26" borderId="10" xfId="0" applyFont="1" applyFill="1" applyBorder="1" applyAlignment="1">
      <alignment horizontal="center" vertical="center" wrapText="1"/>
    </xf>
    <xf numFmtId="0" fontId="39" fillId="26" borderId="25" xfId="0" applyFont="1" applyFill="1" applyBorder="1" applyAlignment="1">
      <alignment horizontal="center" vertical="center" wrapText="1"/>
    </xf>
  </cellXfs>
  <cellStyles count="63">
    <cellStyle name="?蟓%U?&amp;H?_x0008__x001e__x000d_?_x000f__x0001__x0001_" xfId="1" xr:uid="{00000000-0005-0000-0000-000000000000}"/>
    <cellStyle name="20% - Accent1" xfId="2" builtinId="30" customBuiltin="1"/>
    <cellStyle name="20% - Accent2" xfId="3" builtinId="34" customBuiltin="1"/>
    <cellStyle name="20% - Accent3" xfId="4" builtinId="38" customBuiltin="1"/>
    <cellStyle name="20% - Accent4" xfId="5" builtinId="42" customBuiltin="1"/>
    <cellStyle name="20% - Accent5" xfId="6" builtinId="46" customBuiltin="1"/>
    <cellStyle name="20% - Accent6" xfId="7" builtinId="50" customBuiltin="1"/>
    <cellStyle name="40% - Accent1" xfId="8" builtinId="31" customBuiltin="1"/>
    <cellStyle name="40% - Accent2" xfId="9" builtinId="35" customBuiltin="1"/>
    <cellStyle name="40% - Accent3" xfId="10" builtinId="39" customBuiltin="1"/>
    <cellStyle name="40% - Accent4" xfId="11" builtinId="43" customBuiltin="1"/>
    <cellStyle name="40% - Accent5" xfId="12" builtinId="47" customBuiltin="1"/>
    <cellStyle name="40% - Accent6" xfId="13" builtinId="51" customBuiltin="1"/>
    <cellStyle name="60% - Accent1" xfId="14" builtinId="32" customBuiltin="1"/>
    <cellStyle name="60% - Accent2" xfId="15" builtinId="36" customBuiltin="1"/>
    <cellStyle name="60% - Accent3" xfId="16" builtinId="40" customBuiltin="1"/>
    <cellStyle name="60% - Accent4" xfId="17" builtinId="44" customBuiltin="1"/>
    <cellStyle name="60% - Accent5" xfId="18" builtinId="48" customBuiltin="1"/>
    <cellStyle name="60% - Accent6" xfId="19" builtinId="52" customBuiltin="1"/>
    <cellStyle name="Accent1" xfId="20" builtinId="29" customBuiltin="1"/>
    <cellStyle name="Accent2" xfId="21" builtinId="33" customBuiltin="1"/>
    <cellStyle name="Accent3" xfId="22" builtinId="37" customBuiltin="1"/>
    <cellStyle name="Accent4" xfId="23" builtinId="41" customBuiltin="1"/>
    <cellStyle name="Accent5" xfId="24" builtinId="45" customBuiltin="1"/>
    <cellStyle name="Accent6" xfId="25" builtinId="49" customBuiltin="1"/>
    <cellStyle name="Bad" xfId="26" builtinId="27" customBuiltin="1"/>
    <cellStyle name="Calculation" xfId="27" builtinId="22" customBuiltin="1"/>
    <cellStyle name="Check Cell" xfId="28" builtinId="23" customBuiltin="1"/>
    <cellStyle name="comma zerodec" xfId="29" xr:uid="{00000000-0005-0000-0000-00001C000000}"/>
    <cellStyle name="Currency1" xfId="30" xr:uid="{00000000-0005-0000-0000-00001D000000}"/>
    <cellStyle name="Date" xfId="31" xr:uid="{00000000-0005-0000-0000-00001E000000}"/>
    <cellStyle name="Dollar (zero dec)" xfId="32" xr:uid="{00000000-0005-0000-0000-00001F000000}"/>
    <cellStyle name="Excel Built-in Normal" xfId="33" xr:uid="{00000000-0005-0000-0000-000020000000}"/>
    <cellStyle name="Explanatory Text" xfId="34" builtinId="53" customBuiltin="1"/>
    <cellStyle name="Fixed" xfId="35" xr:uid="{00000000-0005-0000-0000-000022000000}"/>
    <cellStyle name="Good" xfId="36" builtinId="26" customBuiltin="1"/>
    <cellStyle name="Grey" xfId="37" xr:uid="{00000000-0005-0000-0000-000024000000}"/>
    <cellStyle name="Heading 1" xfId="38" builtinId="16" customBuiltin="1"/>
    <cellStyle name="Heading 2" xfId="39" builtinId="17" customBuiltin="1"/>
    <cellStyle name="Heading 3" xfId="40" builtinId="18" customBuiltin="1"/>
    <cellStyle name="Heading 4" xfId="41" builtinId="19" customBuiltin="1"/>
    <cellStyle name="HEADING1" xfId="42" xr:uid="{00000000-0005-0000-0000-000029000000}"/>
    <cellStyle name="HEADING2" xfId="43" xr:uid="{00000000-0005-0000-0000-00002A000000}"/>
    <cellStyle name="Input" xfId="44" builtinId="20" customBuiltin="1"/>
    <cellStyle name="Input [yellow]" xfId="45" xr:uid="{00000000-0005-0000-0000-00002C000000}"/>
    <cellStyle name="Linked Cell" xfId="46" builtinId="24" customBuiltin="1"/>
    <cellStyle name="Neutral" xfId="47" builtinId="28" customBuiltin="1"/>
    <cellStyle name="no dec" xfId="48" xr:uid="{00000000-0005-0000-0000-00002F000000}"/>
    <cellStyle name="Normal" xfId="0" builtinId="0"/>
    <cellStyle name="Normal - Style1" xfId="49" xr:uid="{00000000-0005-0000-0000-000031000000}"/>
    <cellStyle name="Note" xfId="50" builtinId="10" customBuiltin="1"/>
    <cellStyle name="Output" xfId="51" builtinId="21" customBuiltin="1"/>
    <cellStyle name="Percent" xfId="52" builtinId="5"/>
    <cellStyle name="Percent [2]" xfId="53" xr:uid="{00000000-0005-0000-0000-000035000000}"/>
    <cellStyle name="Q" xfId="54" xr:uid="{00000000-0005-0000-0000-000036000000}"/>
    <cellStyle name="Quantity" xfId="55" xr:uid="{00000000-0005-0000-0000-000037000000}"/>
    <cellStyle name="small border line" xfId="56" xr:uid="{00000000-0005-0000-0000-000038000000}"/>
    <cellStyle name="Title" xfId="57" builtinId="15" customBuiltin="1"/>
    <cellStyle name="Total" xfId="58" builtinId="25" customBuiltin="1"/>
    <cellStyle name="TU" xfId="59" xr:uid="{00000000-0005-0000-0000-00003B000000}"/>
    <cellStyle name="W" xfId="60" xr:uid="{00000000-0005-0000-0000-00003C000000}"/>
    <cellStyle name="Warning Text" xfId="61" builtinId="11" customBuiltin="1"/>
    <cellStyle name="ปกติ_Appendix2 (F)" xfId="62" xr:uid="{00000000-0005-0000-0000-00003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00FF"/>
      <rgbColor rgb="00E2E1C0"/>
      <rgbColor rgb="003D97AF"/>
      <rgbColor rgb="00B72C00"/>
      <rgbColor rgb="00C0C0C0"/>
      <rgbColor rgb="00B69404"/>
      <rgbColor rgb="00990099"/>
      <rgbColor rgb="00FEF1B8"/>
      <rgbColor rgb="000000FF"/>
      <rgbColor rgb="00E2E1C0"/>
      <rgbColor rgb="003D97AF"/>
      <rgbColor rgb="00B72C00"/>
      <rgbColor rgb="00C0C0C0"/>
      <rgbColor rgb="00B69404"/>
      <rgbColor rgb="00990099"/>
      <rgbColor rgb="00FEF1B8"/>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152400</xdr:colOff>
      <xdr:row>28</xdr:row>
      <xdr:rowOff>28575</xdr:rowOff>
    </xdr:from>
    <xdr:to>
      <xdr:col>15</xdr:col>
      <xdr:colOff>342900</xdr:colOff>
      <xdr:row>28</xdr:row>
      <xdr:rowOff>95250</xdr:rowOff>
    </xdr:to>
    <xdr:sp macro="" textlink="">
      <xdr:nvSpPr>
        <xdr:cNvPr id="1113" name="Rectangle 6">
          <a:extLst>
            <a:ext uri="{FF2B5EF4-FFF2-40B4-BE49-F238E27FC236}">
              <a16:creationId xmlns:a16="http://schemas.microsoft.com/office/drawing/2014/main" id="{00000000-0008-0000-0000-000059040000}"/>
            </a:ext>
          </a:extLst>
        </xdr:cNvPr>
        <xdr:cNvSpPr>
          <a:spLocks noChangeArrowheads="1"/>
        </xdr:cNvSpPr>
      </xdr:nvSpPr>
      <xdr:spPr bwMode="auto">
        <a:xfrm flipV="1">
          <a:off x="152400" y="6162675"/>
          <a:ext cx="9620250" cy="66675"/>
        </a:xfrm>
        <a:prstGeom prst="rect">
          <a:avLst/>
        </a:prstGeom>
        <a:solidFill>
          <a:srgbClr val="000000"/>
        </a:solidFill>
        <a:ln w="9525">
          <a:noFill/>
          <a:miter lim="800000"/>
          <a:headEnd/>
          <a:tailEnd/>
        </a:ln>
      </xdr:spPr>
    </xdr:sp>
    <xdr:clientData/>
  </xdr:twoCellAnchor>
  <xdr:twoCellAnchor>
    <xdr:from>
      <xdr:col>0</xdr:col>
      <xdr:colOff>133350</xdr:colOff>
      <xdr:row>6</xdr:row>
      <xdr:rowOff>85725</xdr:rowOff>
    </xdr:from>
    <xdr:to>
      <xdr:col>15</xdr:col>
      <xdr:colOff>323850</xdr:colOff>
      <xdr:row>6</xdr:row>
      <xdr:rowOff>161925</xdr:rowOff>
    </xdr:to>
    <xdr:sp macro="" textlink="">
      <xdr:nvSpPr>
        <xdr:cNvPr id="1114" name="Rectangle 7">
          <a:extLst>
            <a:ext uri="{FF2B5EF4-FFF2-40B4-BE49-F238E27FC236}">
              <a16:creationId xmlns:a16="http://schemas.microsoft.com/office/drawing/2014/main" id="{00000000-0008-0000-0000-00005A040000}"/>
            </a:ext>
          </a:extLst>
        </xdr:cNvPr>
        <xdr:cNvSpPr>
          <a:spLocks noChangeArrowheads="1"/>
        </xdr:cNvSpPr>
      </xdr:nvSpPr>
      <xdr:spPr bwMode="auto">
        <a:xfrm flipV="1">
          <a:off x="133350" y="1057275"/>
          <a:ext cx="9334500" cy="76200"/>
        </a:xfrm>
        <a:prstGeom prst="rect">
          <a:avLst/>
        </a:prstGeom>
        <a:solidFill>
          <a:srgbClr val="000000"/>
        </a:solidFill>
        <a:ln w="9525">
          <a:noFill/>
          <a:miter lim="800000"/>
          <a:headEnd/>
          <a:tailEnd/>
        </a:ln>
      </xdr:spPr>
    </xdr:sp>
    <xdr:clientData/>
  </xdr:twoCellAnchor>
  <xdr:oneCellAnchor>
    <xdr:from>
      <xdr:col>0</xdr:col>
      <xdr:colOff>357188</xdr:colOff>
      <xdr:row>24</xdr:row>
      <xdr:rowOff>190500</xdr:rowOff>
    </xdr:from>
    <xdr:ext cx="3485826" cy="442429"/>
    <xdr:sp macro="" textlink="">
      <xdr:nvSpPr>
        <xdr:cNvPr id="6" name="Rectangle 5">
          <a:extLst>
            <a:ext uri="{FF2B5EF4-FFF2-40B4-BE49-F238E27FC236}">
              <a16:creationId xmlns:a16="http://schemas.microsoft.com/office/drawing/2014/main" id="{00000000-0008-0000-0000-000006000000}"/>
            </a:ext>
          </a:extLst>
        </xdr:cNvPr>
        <xdr:cNvSpPr>
          <a:spLocks noChangeArrowheads="1"/>
        </xdr:cNvSpPr>
      </xdr:nvSpPr>
      <xdr:spPr bwMode="auto">
        <a:xfrm>
          <a:off x="357188" y="5488781"/>
          <a:ext cx="3485826" cy="442429"/>
        </a:xfrm>
        <a:prstGeom prst="rect">
          <a:avLst/>
        </a:prstGeom>
        <a:noFill/>
        <a:ln w="12700">
          <a:noFill/>
          <a:miter lim="800000"/>
          <a:headEnd/>
          <a:tailEnd/>
        </a:ln>
        <a:effectLst/>
      </xdr:spPr>
      <xdr:txBody>
        <a:bodyPr wrap="none" lIns="0" tIns="0" rIns="0" bIns="0" anchor="t" upright="1">
          <a:spAutoFit/>
        </a:bodyPr>
        <a:lstStyle/>
        <a:p>
          <a:pPr algn="l" rtl="0">
            <a:defRPr sz="1000"/>
          </a:pPr>
          <a:r>
            <a:rPr lang="en-US" sz="1000" b="0" i="0" u="none" strike="noStrike" baseline="0">
              <a:solidFill>
                <a:srgbClr val="000000"/>
              </a:solidFill>
              <a:latin typeface="Arial"/>
              <a:cs typeface="Arial"/>
            </a:rPr>
            <a:t>Dokumen ini rahasia dan ditujukan hanya untuk penggunaan </a:t>
          </a:r>
        </a:p>
        <a:p>
          <a:pPr algn="l" rtl="0">
            <a:defRPr sz="1000"/>
          </a:pPr>
          <a:r>
            <a:rPr lang="en-US" sz="1000" b="0" i="0" u="none" strike="noStrike" baseline="0">
              <a:solidFill>
                <a:srgbClr val="000000"/>
              </a:solidFill>
              <a:latin typeface="Arial"/>
              <a:cs typeface="Arial"/>
            </a:rPr>
            <a:t>dan informasi klien bagi pihak yang dituju</a:t>
          </a:r>
        </a:p>
        <a:p>
          <a:pPr algn="l" rtl="0">
            <a:defRPr sz="1000"/>
          </a:pPr>
          <a:endParaRPr lang="en-US" sz="1000" b="0" i="0" u="none" strike="noStrike" baseline="0">
            <a:solidFill>
              <a:srgbClr val="000000"/>
            </a:solidFill>
            <a:latin typeface="Arial"/>
            <a:cs typeface="Arial"/>
          </a:endParaRPr>
        </a:p>
      </xdr:txBody>
    </xdr:sp>
    <xdr:clientData/>
  </xdr:oneCellAnchor>
  <xdr:twoCellAnchor>
    <xdr:from>
      <xdr:col>0</xdr:col>
      <xdr:colOff>133350</xdr:colOff>
      <xdr:row>0</xdr:row>
      <xdr:rowOff>57171</xdr:rowOff>
    </xdr:from>
    <xdr:to>
      <xdr:col>15</xdr:col>
      <xdr:colOff>323850</xdr:colOff>
      <xdr:row>0</xdr:row>
      <xdr:rowOff>133371</xdr:rowOff>
    </xdr:to>
    <xdr:sp macro="" textlink="">
      <xdr:nvSpPr>
        <xdr:cNvPr id="7" name="Rectangle 7">
          <a:extLst>
            <a:ext uri="{FF2B5EF4-FFF2-40B4-BE49-F238E27FC236}">
              <a16:creationId xmlns:a16="http://schemas.microsoft.com/office/drawing/2014/main" id="{00000000-0008-0000-0000-000007000000}"/>
            </a:ext>
          </a:extLst>
        </xdr:cNvPr>
        <xdr:cNvSpPr>
          <a:spLocks noChangeArrowheads="1"/>
        </xdr:cNvSpPr>
      </xdr:nvSpPr>
      <xdr:spPr bwMode="auto">
        <a:xfrm flipV="1">
          <a:off x="133350" y="57171"/>
          <a:ext cx="9298781" cy="76200"/>
        </a:xfrm>
        <a:prstGeom prst="rect">
          <a:avLst/>
        </a:prstGeom>
        <a:solidFill>
          <a:srgbClr val="000000"/>
        </a:solidFill>
        <a:ln w="9525">
          <a:noFill/>
          <a:miter lim="800000"/>
          <a:headEnd/>
          <a:tailEnd/>
        </a:ln>
      </xdr:spPr>
    </xdr:sp>
    <xdr:clientData/>
  </xdr:twoCellAnchor>
  <xdr:twoCellAnchor editAs="oneCell">
    <xdr:from>
      <xdr:col>12</xdr:col>
      <xdr:colOff>166688</xdr:colOff>
      <xdr:row>1</xdr:row>
      <xdr:rowOff>142874</xdr:rowOff>
    </xdr:from>
    <xdr:to>
      <xdr:col>15</xdr:col>
      <xdr:colOff>59532</xdr:colOff>
      <xdr:row>4</xdr:row>
      <xdr:rowOff>119062</xdr:rowOff>
    </xdr:to>
    <xdr:pic>
      <xdr:nvPicPr>
        <xdr:cNvPr id="9" name="Picture 8" descr="Maybank-logo-(50px).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cstate="print"/>
        <a:stretch>
          <a:fillRect/>
        </a:stretch>
      </xdr:blipFill>
      <xdr:spPr>
        <a:xfrm>
          <a:off x="7453313" y="309562"/>
          <a:ext cx="1714500" cy="476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4</xdr:col>
      <xdr:colOff>0</xdr:colOff>
      <xdr:row>2</xdr:row>
      <xdr:rowOff>133350</xdr:rowOff>
    </xdr:to>
    <xdr:pic>
      <xdr:nvPicPr>
        <xdr:cNvPr id="6" name="Picture 1" descr="Maybank bii.jpg">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rcRect/>
        <a:stretch>
          <a:fillRect/>
        </a:stretch>
      </xdr:blipFill>
      <xdr:spPr bwMode="auto">
        <a:xfrm>
          <a:off x="6791325" y="0"/>
          <a:ext cx="0" cy="495300"/>
        </a:xfrm>
        <a:prstGeom prst="rect">
          <a:avLst/>
        </a:prstGeom>
        <a:noFill/>
        <a:ln w="9525">
          <a:noFill/>
          <a:miter lim="800000"/>
          <a:headEnd/>
          <a:tailEnd/>
        </a:ln>
      </xdr:spPr>
    </xdr:pic>
    <xdr:clientData/>
  </xdr:twoCellAnchor>
  <xdr:twoCellAnchor editAs="oneCell">
    <xdr:from>
      <xdr:col>4</xdr:col>
      <xdr:colOff>142875</xdr:colOff>
      <xdr:row>0</xdr:row>
      <xdr:rowOff>47624</xdr:rowOff>
    </xdr:from>
    <xdr:to>
      <xdr:col>4</xdr:col>
      <xdr:colOff>1857375</xdr:colOff>
      <xdr:row>2</xdr:row>
      <xdr:rowOff>114299</xdr:rowOff>
    </xdr:to>
    <xdr:pic>
      <xdr:nvPicPr>
        <xdr:cNvPr id="8" name="Picture 7" descr="Maybank-logo-(50px).png">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2" cstate="print"/>
        <a:stretch>
          <a:fillRect/>
        </a:stretch>
      </xdr:blipFill>
      <xdr:spPr>
        <a:xfrm>
          <a:off x="6934200" y="47624"/>
          <a:ext cx="1714500" cy="428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26</xdr:col>
      <xdr:colOff>428625</xdr:colOff>
      <xdr:row>0</xdr:row>
      <xdr:rowOff>57149</xdr:rowOff>
    </xdr:from>
    <xdr:to>
      <xdr:col>28</xdr:col>
      <xdr:colOff>800100</xdr:colOff>
      <xdr:row>2</xdr:row>
      <xdr:rowOff>85724</xdr:rowOff>
    </xdr:to>
    <xdr:pic>
      <xdr:nvPicPr>
        <xdr:cNvPr id="4" name="Picture 3" descr="Maybank-logo-(50px).png">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stretch>
          <a:fillRect/>
        </a:stretch>
      </xdr:blipFill>
      <xdr:spPr>
        <a:xfrm>
          <a:off x="19469100" y="57149"/>
          <a:ext cx="1714500" cy="390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142875</xdr:colOff>
      <xdr:row>0</xdr:row>
      <xdr:rowOff>28575</xdr:rowOff>
    </xdr:from>
    <xdr:to>
      <xdr:col>13</xdr:col>
      <xdr:colOff>790575</xdr:colOff>
      <xdr:row>2</xdr:row>
      <xdr:rowOff>85725</xdr:rowOff>
    </xdr:to>
    <xdr:pic>
      <xdr:nvPicPr>
        <xdr:cNvPr id="3" name="Picture 2" descr="Maybank-logo-(50px).pn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12382500" y="28575"/>
          <a:ext cx="647700" cy="4191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495300</xdr:colOff>
      <xdr:row>0</xdr:row>
      <xdr:rowOff>57150</xdr:rowOff>
    </xdr:from>
    <xdr:to>
      <xdr:col>4</xdr:col>
      <xdr:colOff>2209800</xdr:colOff>
      <xdr:row>2</xdr:row>
      <xdr:rowOff>85725</xdr:rowOff>
    </xdr:to>
    <xdr:pic>
      <xdr:nvPicPr>
        <xdr:cNvPr id="3" name="Picture 2" descr="Maybank-logo-(50px).pn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6315075" y="57150"/>
          <a:ext cx="1714500" cy="3905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532328/Local%20Settings/Temp/wz535e/180111%20CMS%20RFP%20Pack/MBB%20ITT%20CMS%20RFP%20Functional%20Appendices%20v3.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1/00982219/LOCALS~1/Temp/Temporary%20Directory%201%20for%20MBB%20ITT%20CMS%20RFP%20Evaluation%20Template%20(1%20of%202)%20Evaluator%20Name.xls.zip/MBB%20ITT%20CMS%20RFP%20Evaluation%20-%20for%20indv%20Evaluators%20v1.2_for%20vendor4&amp;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liance Legend"/>
      <sheetName val="App S7.4a General"/>
      <sheetName val="App S7.4b Functional"/>
    </sheetNames>
    <sheetDataSet>
      <sheetData sheetId="0">
        <row r="5">
          <cell r="C5" t="str">
            <v>C</v>
          </cell>
        </row>
        <row r="6">
          <cell r="C6" t="str">
            <v>WC1</v>
          </cell>
        </row>
        <row r="7">
          <cell r="C7" t="str">
            <v>WC2</v>
          </cell>
        </row>
        <row r="8">
          <cell r="C8" t="str">
            <v>WC3</v>
          </cell>
        </row>
        <row r="9">
          <cell r="C9" t="str">
            <v>AC</v>
          </cell>
        </row>
        <row r="10">
          <cell r="C10" t="str">
            <v>FC</v>
          </cell>
        </row>
        <row r="11">
          <cell r="C11" t="str">
            <v>NC</v>
          </cell>
        </row>
      </sheetData>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Weightings"/>
      <sheetName val="Summary of Scores"/>
      <sheetName val="For Individual Evaluators --&gt;"/>
      <sheetName val="Functional Summary - Indiv"/>
      <sheetName val="Functional Evaluation Template"/>
      <sheetName val="Technical Summary - Indiv"/>
      <sheetName val="Technical Evaluation Template"/>
      <sheetName val="Risk Register Func &amp; Tech- Indv"/>
      <sheetName val="Clarifi Qn Func &amp; Tech- Indiv"/>
      <sheetName val="EA Strategic Alignment - Indiv"/>
      <sheetName val="EA Strategic Alignment Template"/>
      <sheetName val="Other Sections Summary - Indiv"/>
      <sheetName val="ISS Evaluation Template"/>
      <sheetName val="Prod Info Evaluation Template"/>
      <sheetName val="Implement Risk Eval Template"/>
      <sheetName val="Prod. Demo Evaluation Template"/>
      <sheetName val="Compliance 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5">
          <cell r="C5" t="str">
            <v>C</v>
          </cell>
        </row>
        <row r="6">
          <cell r="C6" t="str">
            <v>WC1</v>
          </cell>
        </row>
        <row r="7">
          <cell r="C7" t="str">
            <v>WC2</v>
          </cell>
        </row>
        <row r="8">
          <cell r="C8" t="str">
            <v>WC3</v>
          </cell>
        </row>
        <row r="9">
          <cell r="C9" t="str">
            <v>AC</v>
          </cell>
        </row>
        <row r="10">
          <cell r="C10" t="str">
            <v>FC</v>
          </cell>
        </row>
        <row r="11">
          <cell r="C11" t="str">
            <v>NC</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34"/>
  <sheetViews>
    <sheetView topLeftCell="A16" zoomScale="80" workbookViewId="0">
      <selection activeCell="C28" sqref="C28"/>
    </sheetView>
  </sheetViews>
  <sheetFormatPr baseColWidth="10" defaultColWidth="9.1640625" defaultRowHeight="13"/>
  <cols>
    <col min="1" max="9" width="9.1640625" style="4"/>
    <col min="10" max="10" width="9.33203125" style="4" bestFit="1" customWidth="1"/>
    <col min="11" max="16384" width="9.1640625" style="4"/>
  </cols>
  <sheetData>
    <row r="1" spans="1:16">
      <c r="A1" s="1"/>
      <c r="B1" s="2"/>
      <c r="C1" s="2"/>
      <c r="D1" s="2"/>
      <c r="E1" s="2"/>
      <c r="F1" s="2"/>
      <c r="G1" s="2"/>
      <c r="H1" s="2"/>
      <c r="I1" s="2"/>
      <c r="J1" s="2"/>
      <c r="K1" s="2"/>
      <c r="L1" s="2"/>
      <c r="M1" s="2"/>
      <c r="N1" s="2"/>
      <c r="O1" s="2"/>
      <c r="P1" s="3"/>
    </row>
    <row r="2" spans="1:16">
      <c r="A2" s="137" t="str">
        <f>B9</f>
        <v>Pengembangan Liveness</v>
      </c>
      <c r="B2" s="138"/>
      <c r="C2" s="138"/>
      <c r="D2" s="138"/>
      <c r="E2" s="138"/>
      <c r="F2" s="138"/>
      <c r="G2" s="138"/>
      <c r="H2" s="138"/>
      <c r="I2" s="6" t="s">
        <v>105</v>
      </c>
      <c r="J2" s="118" t="s">
        <v>121</v>
      </c>
      <c r="K2" s="6"/>
      <c r="L2" s="6"/>
      <c r="M2" s="6"/>
      <c r="N2" s="6"/>
      <c r="O2" s="6"/>
      <c r="P2" s="7"/>
    </row>
    <row r="3" spans="1:16">
      <c r="A3" s="139"/>
      <c r="B3" s="138"/>
      <c r="C3" s="138"/>
      <c r="D3" s="138"/>
      <c r="E3" s="138"/>
      <c r="F3" s="138"/>
      <c r="G3" s="138"/>
      <c r="H3" s="138"/>
      <c r="I3" s="6" t="s">
        <v>106</v>
      </c>
      <c r="J3" s="6"/>
      <c r="K3" s="6"/>
      <c r="L3" s="6"/>
      <c r="M3" s="6"/>
      <c r="N3" s="6"/>
      <c r="O3" s="6"/>
      <c r="P3" s="7"/>
    </row>
    <row r="4" spans="1:16">
      <c r="A4" s="139"/>
      <c r="B4" s="138"/>
      <c r="C4" s="138"/>
      <c r="D4" s="138"/>
      <c r="E4" s="138"/>
      <c r="F4" s="138"/>
      <c r="G4" s="138"/>
      <c r="H4" s="138"/>
      <c r="I4" s="6" t="s">
        <v>104</v>
      </c>
      <c r="J4" s="123">
        <v>43797</v>
      </c>
      <c r="K4" s="6"/>
      <c r="L4" s="6"/>
      <c r="M4" s="6"/>
      <c r="N4" s="6"/>
      <c r="O4" s="6"/>
      <c r="P4" s="7"/>
    </row>
    <row r="5" spans="1:16">
      <c r="A5" s="139"/>
      <c r="B5" s="138"/>
      <c r="C5" s="138"/>
      <c r="D5" s="138"/>
      <c r="E5" s="138"/>
      <c r="F5" s="138"/>
      <c r="G5" s="138"/>
      <c r="H5" s="138"/>
      <c r="I5" s="6"/>
      <c r="J5" s="6"/>
      <c r="K5" s="6"/>
      <c r="L5" s="6"/>
      <c r="M5" s="6"/>
      <c r="N5" s="6"/>
      <c r="O5" s="6"/>
      <c r="P5" s="7"/>
    </row>
    <row r="6" spans="1:16">
      <c r="A6" s="139"/>
      <c r="B6" s="138"/>
      <c r="C6" s="138"/>
      <c r="D6" s="138"/>
      <c r="E6" s="138"/>
      <c r="F6" s="138"/>
      <c r="G6" s="138"/>
      <c r="H6" s="138"/>
      <c r="I6" s="6"/>
      <c r="J6" s="6"/>
      <c r="K6" s="6"/>
      <c r="L6" s="6"/>
      <c r="M6" s="6"/>
      <c r="N6" s="6"/>
      <c r="O6" s="6"/>
      <c r="P6" s="7"/>
    </row>
    <row r="7" spans="1:16" ht="28">
      <c r="A7" s="8"/>
      <c r="B7" s="9"/>
      <c r="C7" s="9"/>
      <c r="D7" s="10"/>
      <c r="E7" s="10"/>
      <c r="F7" s="10"/>
      <c r="G7" s="10"/>
      <c r="H7" s="10"/>
      <c r="I7" s="10"/>
      <c r="J7" s="10"/>
      <c r="K7" s="10"/>
      <c r="L7" s="10"/>
      <c r="M7" s="10"/>
      <c r="N7" s="9"/>
      <c r="O7" s="9"/>
      <c r="P7" s="11"/>
    </row>
    <row r="8" spans="1:16" ht="28">
      <c r="A8" s="8"/>
      <c r="B8" s="9"/>
      <c r="C8" s="9"/>
      <c r="D8" s="10"/>
      <c r="E8" s="10"/>
      <c r="F8" s="10"/>
      <c r="G8" s="10"/>
      <c r="H8" s="10"/>
      <c r="I8" s="10"/>
      <c r="J8" s="10"/>
      <c r="K8" s="10"/>
      <c r="L8" s="10"/>
      <c r="M8" s="10"/>
      <c r="N8" s="9"/>
      <c r="O8" s="9"/>
      <c r="P8" s="11"/>
    </row>
    <row r="9" spans="1:16" ht="39">
      <c r="A9" s="12"/>
      <c r="B9" s="116" t="s">
        <v>127</v>
      </c>
      <c r="C9" s="13"/>
      <c r="D9" s="13"/>
      <c r="E9" s="13"/>
      <c r="F9" s="13"/>
      <c r="G9" s="13"/>
      <c r="H9" s="13"/>
      <c r="I9" s="14"/>
      <c r="J9" s="14"/>
      <c r="K9" s="14"/>
      <c r="L9" s="14"/>
      <c r="M9" s="14"/>
      <c r="N9" s="14"/>
      <c r="O9" s="14"/>
      <c r="P9" s="15"/>
    </row>
    <row r="10" spans="1:16">
      <c r="A10" s="5"/>
      <c r="B10" s="16"/>
      <c r="C10" s="16"/>
      <c r="D10" s="16"/>
      <c r="E10" s="16"/>
      <c r="F10" s="16"/>
      <c r="G10" s="16"/>
      <c r="H10" s="16"/>
      <c r="I10" s="6"/>
      <c r="J10" s="6"/>
      <c r="K10" s="6"/>
      <c r="L10" s="6"/>
      <c r="M10" s="6"/>
      <c r="N10" s="6"/>
      <c r="O10" s="6"/>
      <c r="P10" s="7"/>
    </row>
    <row r="11" spans="1:16" ht="24">
      <c r="A11" s="17"/>
      <c r="B11" s="18" t="s">
        <v>25</v>
      </c>
      <c r="C11" s="19"/>
      <c r="D11" s="19"/>
      <c r="E11" s="19"/>
      <c r="F11" s="19"/>
      <c r="G11" s="19"/>
      <c r="H11" s="19"/>
      <c r="I11" s="20"/>
      <c r="J11" s="20"/>
      <c r="K11" s="20"/>
      <c r="L11" s="19"/>
      <c r="M11" s="19"/>
      <c r="N11" s="21"/>
      <c r="O11" s="20"/>
      <c r="P11" s="22"/>
    </row>
    <row r="12" spans="1:16" ht="16">
      <c r="A12" s="23"/>
      <c r="B12" s="24"/>
      <c r="C12" s="24"/>
      <c r="D12" s="24"/>
      <c r="E12" s="24"/>
      <c r="F12" s="24"/>
      <c r="G12" s="24"/>
      <c r="H12" s="24"/>
      <c r="I12" s="24"/>
      <c r="J12" s="24"/>
      <c r="K12" s="24"/>
      <c r="L12" s="25"/>
      <c r="M12" s="24"/>
      <c r="N12" s="24"/>
      <c r="O12" s="24"/>
      <c r="P12" s="26"/>
    </row>
    <row r="13" spans="1:16" ht="16">
      <c r="A13" s="23"/>
      <c r="B13" s="27"/>
      <c r="C13" s="27"/>
      <c r="D13" s="27"/>
      <c r="E13" s="24"/>
      <c r="F13" s="24"/>
      <c r="G13" s="24"/>
      <c r="H13" s="24"/>
      <c r="I13" s="24"/>
      <c r="J13" s="24"/>
      <c r="K13" s="24"/>
      <c r="L13" s="24"/>
      <c r="M13" s="24"/>
      <c r="N13" s="24"/>
      <c r="O13" s="24"/>
      <c r="P13" s="26"/>
    </row>
    <row r="14" spans="1:16" ht="16">
      <c r="A14" s="23"/>
      <c r="B14" s="24"/>
      <c r="C14" s="24"/>
      <c r="D14" s="24"/>
      <c r="E14" s="24"/>
      <c r="F14" s="24"/>
      <c r="G14" s="24"/>
      <c r="H14" s="24"/>
      <c r="I14" s="24"/>
      <c r="J14" s="24"/>
      <c r="K14" s="24"/>
      <c r="L14" s="24"/>
      <c r="M14" s="24"/>
      <c r="N14" s="24"/>
      <c r="O14" s="24"/>
      <c r="P14" s="26"/>
    </row>
    <row r="15" spans="1:16" ht="16">
      <c r="A15" s="23"/>
      <c r="B15" s="24"/>
      <c r="C15" s="24"/>
      <c r="D15" s="24"/>
      <c r="E15" s="24"/>
      <c r="F15" s="24"/>
      <c r="G15" s="24"/>
      <c r="H15" s="24"/>
      <c r="I15" s="24"/>
      <c r="J15" s="24"/>
      <c r="K15" s="24"/>
      <c r="L15" s="24"/>
      <c r="M15" s="24"/>
      <c r="N15" s="24"/>
      <c r="O15" s="24"/>
      <c r="P15" s="26"/>
    </row>
    <row r="16" spans="1:16" ht="16">
      <c r="A16" s="23"/>
      <c r="B16" s="24"/>
      <c r="C16" s="24"/>
      <c r="D16" s="24"/>
      <c r="E16" s="24"/>
      <c r="F16" s="24"/>
      <c r="G16" s="24"/>
      <c r="H16" s="24"/>
      <c r="I16" s="24"/>
      <c r="J16" s="24"/>
      <c r="K16" s="24"/>
      <c r="L16" s="24"/>
      <c r="M16" s="24"/>
      <c r="N16" s="24"/>
      <c r="O16" s="24"/>
      <c r="P16" s="26"/>
    </row>
    <row r="17" spans="1:16" ht="16">
      <c r="A17" s="23"/>
      <c r="B17" s="24"/>
      <c r="C17" s="24"/>
      <c r="D17" s="24"/>
      <c r="E17" s="24"/>
      <c r="F17" s="24"/>
      <c r="G17" s="24"/>
      <c r="H17" s="24"/>
      <c r="I17" s="24"/>
      <c r="J17" s="24"/>
      <c r="K17" s="24"/>
      <c r="L17" s="24"/>
      <c r="M17" s="24"/>
      <c r="N17" s="24"/>
      <c r="O17" s="24"/>
      <c r="P17" s="26"/>
    </row>
    <row r="18" spans="1:16" ht="16">
      <c r="A18" s="23"/>
      <c r="B18" s="24"/>
      <c r="C18" s="24"/>
      <c r="D18" s="24"/>
      <c r="E18" s="24"/>
      <c r="F18" s="24"/>
      <c r="G18" s="24"/>
      <c r="H18" s="24"/>
      <c r="I18" s="24"/>
      <c r="J18" s="24"/>
      <c r="K18" s="24"/>
      <c r="L18" s="24"/>
      <c r="M18" s="24"/>
      <c r="N18" s="24"/>
      <c r="O18" s="24"/>
      <c r="P18" s="26"/>
    </row>
    <row r="19" spans="1:16" ht="16">
      <c r="A19" s="23"/>
      <c r="B19" s="24"/>
      <c r="C19" s="24"/>
      <c r="D19" s="25"/>
      <c r="E19" s="24"/>
      <c r="F19" s="24"/>
      <c r="G19" s="24"/>
      <c r="H19" s="24"/>
      <c r="I19" s="24"/>
      <c r="J19" s="24"/>
      <c r="K19" s="24"/>
      <c r="L19" s="24"/>
      <c r="M19" s="24"/>
      <c r="N19" s="24"/>
      <c r="O19" s="117" t="s">
        <v>121</v>
      </c>
      <c r="P19" s="26"/>
    </row>
    <row r="20" spans="1:16" ht="16">
      <c r="A20" s="23"/>
      <c r="B20" s="24"/>
      <c r="C20" s="24"/>
      <c r="D20" s="24"/>
      <c r="E20" s="24"/>
      <c r="F20" s="24"/>
      <c r="G20" s="24"/>
      <c r="H20" s="24"/>
      <c r="I20" s="24"/>
      <c r="J20" s="24"/>
      <c r="K20" s="28"/>
      <c r="L20" s="28"/>
      <c r="M20" s="28"/>
      <c r="N20" s="28"/>
      <c r="O20" s="29" t="s">
        <v>126</v>
      </c>
      <c r="P20" s="26"/>
    </row>
    <row r="21" spans="1:16" ht="16">
      <c r="A21" s="23"/>
      <c r="B21" s="24"/>
      <c r="C21" s="24"/>
      <c r="D21" s="24"/>
      <c r="E21" s="24"/>
      <c r="F21" s="24"/>
      <c r="G21" s="24"/>
      <c r="H21" s="24"/>
      <c r="I21" s="24"/>
      <c r="J21" s="24"/>
      <c r="K21" s="24"/>
      <c r="L21" s="24"/>
      <c r="M21" s="24"/>
      <c r="N21" s="24"/>
      <c r="O21" s="24"/>
      <c r="P21" s="26"/>
    </row>
    <row r="22" spans="1:16" ht="16">
      <c r="A22" s="23"/>
      <c r="B22" s="24"/>
      <c r="C22" s="24"/>
      <c r="D22" s="24"/>
      <c r="E22" s="24"/>
      <c r="F22" s="24"/>
      <c r="G22" s="24"/>
      <c r="H22" s="24"/>
      <c r="I22" s="24"/>
      <c r="J22" s="24"/>
      <c r="K22" s="24"/>
      <c r="L22" s="24"/>
      <c r="M22" s="24"/>
      <c r="N22" s="24"/>
      <c r="O22" s="24"/>
      <c r="P22" s="26"/>
    </row>
    <row r="23" spans="1:16" ht="16">
      <c r="A23" s="30"/>
      <c r="B23" s="24"/>
      <c r="C23" s="24"/>
      <c r="D23" s="24"/>
      <c r="E23" s="24"/>
      <c r="F23" s="24"/>
      <c r="G23" s="24"/>
      <c r="H23" s="24"/>
      <c r="I23" s="24"/>
      <c r="J23" s="24"/>
      <c r="K23" s="24"/>
      <c r="L23" s="24"/>
      <c r="M23" s="24"/>
      <c r="N23" s="24"/>
      <c r="O23" s="31"/>
      <c r="P23" s="32"/>
    </row>
    <row r="24" spans="1:16" ht="16">
      <c r="A24" s="30"/>
      <c r="B24" s="24"/>
      <c r="C24" s="24"/>
      <c r="D24" s="25"/>
      <c r="E24" s="24"/>
      <c r="F24" s="24"/>
      <c r="G24" s="24"/>
      <c r="H24" s="24"/>
      <c r="I24" s="24"/>
      <c r="J24" s="24"/>
      <c r="K24" s="24"/>
      <c r="L24" s="24"/>
      <c r="M24" s="24"/>
      <c r="N24" s="24"/>
      <c r="O24" s="31"/>
      <c r="P24" s="32"/>
    </row>
    <row r="25" spans="1:16" ht="16">
      <c r="A25" s="30"/>
      <c r="B25" s="24"/>
      <c r="C25" s="24"/>
      <c r="D25" s="25"/>
      <c r="E25" s="24"/>
      <c r="F25" s="24"/>
      <c r="G25" s="24"/>
      <c r="H25" s="24"/>
      <c r="I25" s="24"/>
      <c r="J25" s="24"/>
      <c r="K25" s="24"/>
      <c r="L25" s="24"/>
      <c r="M25" s="24"/>
      <c r="N25" s="24"/>
      <c r="O25" s="31"/>
      <c r="P25" s="32"/>
    </row>
    <row r="26" spans="1:16" ht="16">
      <c r="A26" s="23"/>
      <c r="B26" s="24"/>
      <c r="C26" s="24"/>
      <c r="D26" s="24"/>
      <c r="E26" s="24"/>
      <c r="F26" s="24"/>
      <c r="G26" s="24"/>
      <c r="H26" s="24"/>
      <c r="I26" s="24"/>
      <c r="J26" s="24"/>
      <c r="K26" s="24"/>
      <c r="L26" s="24"/>
      <c r="M26" s="24"/>
      <c r="N26" s="24"/>
      <c r="O26" s="24"/>
      <c r="P26" s="26"/>
    </row>
    <row r="27" spans="1:16" ht="16">
      <c r="A27" s="23"/>
      <c r="B27" s="24"/>
      <c r="C27" s="24"/>
      <c r="D27" s="24"/>
      <c r="E27" s="24"/>
      <c r="F27" s="24"/>
      <c r="G27" s="24"/>
      <c r="H27" s="24"/>
      <c r="I27" s="24"/>
      <c r="J27" s="24"/>
      <c r="K27" s="24"/>
      <c r="L27" s="24"/>
      <c r="M27" s="24"/>
      <c r="N27" s="24"/>
      <c r="O27" s="24"/>
      <c r="P27" s="26"/>
    </row>
    <row r="28" spans="1:16" ht="16">
      <c r="A28" s="23"/>
      <c r="B28" s="24"/>
      <c r="C28" s="24"/>
      <c r="D28" s="24"/>
      <c r="E28" s="24"/>
      <c r="F28" s="24"/>
      <c r="G28" s="24"/>
      <c r="H28" s="24"/>
      <c r="I28" s="24"/>
      <c r="J28" s="24"/>
      <c r="K28" s="24"/>
      <c r="L28" s="24"/>
      <c r="M28" s="24"/>
      <c r="N28" s="24"/>
      <c r="O28" s="24"/>
      <c r="P28" s="26"/>
    </row>
    <row r="29" spans="1:16">
      <c r="A29" s="5"/>
      <c r="B29" s="6"/>
      <c r="C29" s="6"/>
      <c r="D29" s="6"/>
      <c r="E29" s="6"/>
      <c r="F29" s="6"/>
      <c r="G29" s="6"/>
      <c r="H29" s="6"/>
      <c r="I29" s="6"/>
      <c r="J29" s="6"/>
      <c r="K29" s="6"/>
      <c r="L29" s="6"/>
      <c r="M29" s="6"/>
      <c r="N29" s="6"/>
      <c r="O29" s="6"/>
      <c r="P29" s="7"/>
    </row>
    <row r="30" spans="1:16">
      <c r="A30" s="5"/>
      <c r="B30" s="6"/>
      <c r="C30" s="6"/>
      <c r="D30" s="6"/>
      <c r="E30" s="6"/>
      <c r="F30" s="6"/>
      <c r="G30" s="6"/>
      <c r="H30" s="6"/>
      <c r="I30" s="6"/>
      <c r="J30" s="6"/>
      <c r="K30" s="6"/>
      <c r="L30" s="6"/>
      <c r="M30" s="6"/>
      <c r="N30" s="6"/>
      <c r="O30" s="6"/>
      <c r="P30" s="7"/>
    </row>
    <row r="31" spans="1:16">
      <c r="A31" s="5"/>
      <c r="B31" s="6"/>
      <c r="C31" s="6"/>
      <c r="D31" s="6"/>
      <c r="E31" s="6"/>
      <c r="F31" s="6"/>
      <c r="G31" s="6"/>
      <c r="H31" s="6"/>
      <c r="I31" s="6"/>
      <c r="J31" s="6"/>
      <c r="K31" s="6"/>
      <c r="L31" s="6"/>
      <c r="M31" s="6"/>
      <c r="N31" s="6"/>
      <c r="O31" s="6"/>
      <c r="P31" s="7"/>
    </row>
    <row r="32" spans="1:16">
      <c r="A32" s="5"/>
      <c r="B32" s="6"/>
      <c r="C32" s="6"/>
      <c r="D32" s="6"/>
      <c r="E32" s="6"/>
      <c r="F32" s="6"/>
      <c r="G32" s="6"/>
      <c r="H32" s="6"/>
      <c r="I32" s="6"/>
      <c r="J32" s="6"/>
      <c r="K32" s="6"/>
      <c r="L32" s="6"/>
      <c r="M32" s="6"/>
      <c r="N32" s="6"/>
      <c r="O32" s="6"/>
      <c r="P32" s="7"/>
    </row>
    <row r="33" spans="1:16">
      <c r="A33" s="33"/>
      <c r="B33" s="34"/>
      <c r="C33" s="34"/>
      <c r="D33" s="34"/>
      <c r="E33" s="34"/>
      <c r="F33" s="34"/>
      <c r="G33" s="34"/>
      <c r="H33" s="34"/>
      <c r="I33" s="34"/>
      <c r="J33" s="34"/>
      <c r="K33" s="34"/>
      <c r="L33" s="34"/>
      <c r="M33" s="34"/>
      <c r="N33" s="34"/>
      <c r="O33" s="34"/>
      <c r="P33" s="35"/>
    </row>
    <row r="34" spans="1:16">
      <c r="A34" s="6"/>
      <c r="B34" s="6"/>
      <c r="C34" s="6"/>
      <c r="D34" s="6"/>
      <c r="E34" s="6"/>
      <c r="F34" s="6"/>
      <c r="G34" s="6"/>
      <c r="H34" s="6"/>
      <c r="I34" s="6"/>
      <c r="J34" s="6"/>
      <c r="K34" s="6"/>
      <c r="L34" s="6"/>
      <c r="M34" s="6"/>
      <c r="N34" s="6"/>
      <c r="O34" s="6"/>
      <c r="P34" s="6"/>
    </row>
  </sheetData>
  <mergeCells count="1">
    <mergeCell ref="A2:H6"/>
  </mergeCells>
  <phoneticPr fontId="0" type="noConversion"/>
  <pageMargins left="0.31496062992125984" right="0.31496062992125984" top="0.31496062992125984" bottom="0.31496062992125984" header="0.19685039370078741" footer="0.19685039370078741"/>
  <pageSetup paperSize="9" scale="98" orientation="landscape" horizontalDpi="200" verticalDpi="200" r:id="rId1"/>
  <headerFooter alignWithMargins="0">
    <oddFooter>&amp;L&amp;8LAST UPDATED: 17 November 2011
FILE REFERENCE: POC Evaluation Sheet&amp;C&amp;8&amp;A&amp;R&amp;8Page &amp;P of &amp;N
Version 1.0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53"/>
  </sheetPr>
  <dimension ref="B3:B5"/>
  <sheetViews>
    <sheetView zoomScale="145" workbookViewId="0">
      <selection activeCell="B18" sqref="B18"/>
    </sheetView>
  </sheetViews>
  <sheetFormatPr baseColWidth="10" defaultColWidth="9.1640625" defaultRowHeight="13"/>
  <cols>
    <col min="1" max="1" width="2.6640625" style="4" customWidth="1"/>
    <col min="2" max="2" width="113.5" style="46" customWidth="1"/>
    <col min="3" max="16384" width="9.1640625" style="4"/>
  </cols>
  <sheetData>
    <row r="3" spans="2:2" ht="14">
      <c r="B3" s="91" t="s">
        <v>26</v>
      </c>
    </row>
    <row r="4" spans="2:2" ht="19.5" customHeight="1">
      <c r="B4" s="46" t="s">
        <v>27</v>
      </c>
    </row>
    <row r="5" spans="2:2" ht="42" customHeight="1"/>
  </sheetData>
  <phoneticPr fontId="0" type="noConversion"/>
  <pageMargins left="0.31496062992125984" right="0.31496062992125984" top="0.31496062992125984" bottom="0.31496062992125984" header="0.19685039370078741" footer="0.19685039370078741"/>
  <pageSetup paperSize="9" orientation="landscape" horizontalDpi="200" verticalDpi="200" r:id="rId1"/>
  <headerFooter alignWithMargins="0">
    <oddFooter>&amp;L&amp;8LAST UPDATED: 17 November 2011
FILE REFERENCE: POC Evaluation Sheet&amp;C&amp;8&amp;A&amp;R&amp;8Page &amp;P of &amp;N
Version 1.0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F110"/>
  <sheetViews>
    <sheetView showGridLines="0" topLeftCell="A47" zoomScale="80" zoomScaleNormal="80" workbookViewId="0">
      <selection activeCell="D20" sqref="D20"/>
    </sheetView>
  </sheetViews>
  <sheetFormatPr baseColWidth="10" defaultColWidth="9.1640625" defaultRowHeight="13"/>
  <cols>
    <col min="1" max="1" width="9.1640625" style="4"/>
    <col min="2" max="2" width="55.1640625" style="4" customWidth="1"/>
    <col min="3" max="3" width="22.6640625" style="4" customWidth="1"/>
    <col min="4" max="4" width="14.83203125" style="4" customWidth="1"/>
    <col min="5" max="5" width="29.6640625" style="4" customWidth="1"/>
    <col min="6" max="16384" width="9.1640625" style="4"/>
  </cols>
  <sheetData>
    <row r="1" spans="1:6" ht="14">
      <c r="A1" s="152" t="str">
        <f>'Cover Page'!B9</f>
        <v>Pengembangan Liveness</v>
      </c>
      <c r="B1" s="153"/>
      <c r="C1" s="158" t="s">
        <v>125</v>
      </c>
      <c r="D1" s="159"/>
      <c r="E1" s="149"/>
    </row>
    <row r="2" spans="1:6" ht="14">
      <c r="A2" s="154"/>
      <c r="B2" s="155"/>
      <c r="C2" s="158" t="s">
        <v>108</v>
      </c>
      <c r="D2" s="159"/>
      <c r="E2" s="150"/>
    </row>
    <row r="3" spans="1:6" ht="14">
      <c r="A3" s="156"/>
      <c r="B3" s="157"/>
      <c r="C3" s="158" t="s">
        <v>128</v>
      </c>
      <c r="D3" s="159"/>
      <c r="E3" s="151"/>
    </row>
    <row r="4" spans="1:6" s="42" customFormat="1" ht="18">
      <c r="A4" s="45" t="s">
        <v>29</v>
      </c>
      <c r="B4" s="41"/>
    </row>
    <row r="5" spans="1:6" s="101" customFormat="1"/>
    <row r="6" spans="1:6" s="102" customFormat="1">
      <c r="B6" s="103" t="s">
        <v>28</v>
      </c>
      <c r="C6" s="103" t="s">
        <v>30</v>
      </c>
      <c r="D6" s="160" t="s">
        <v>31</v>
      </c>
      <c r="E6" s="160"/>
    </row>
    <row r="7" spans="1:6" s="102" customFormat="1">
      <c r="B7" s="161" t="s">
        <v>133</v>
      </c>
      <c r="C7" s="142"/>
      <c r="D7" s="144" t="s">
        <v>134</v>
      </c>
      <c r="E7" s="145"/>
    </row>
    <row r="8" spans="1:6" s="102" customFormat="1">
      <c r="B8" s="162"/>
      <c r="C8" s="143"/>
      <c r="D8" s="146"/>
      <c r="E8" s="147"/>
    </row>
    <row r="9" spans="1:6" s="102" customFormat="1">
      <c r="B9" s="104"/>
      <c r="C9" s="104"/>
      <c r="D9" s="104"/>
    </row>
    <row r="10" spans="1:6" s="102" customFormat="1">
      <c r="B10" s="103" t="s">
        <v>32</v>
      </c>
      <c r="C10" s="112" t="s">
        <v>30</v>
      </c>
      <c r="D10" s="160" t="s">
        <v>31</v>
      </c>
      <c r="E10" s="160"/>
    </row>
    <row r="11" spans="1:6" s="102" customFormat="1">
      <c r="B11" s="140" t="s">
        <v>135</v>
      </c>
      <c r="C11" s="142"/>
      <c r="D11" s="144" t="s">
        <v>134</v>
      </c>
      <c r="E11" s="145"/>
    </row>
    <row r="12" spans="1:6" s="102" customFormat="1">
      <c r="B12" s="141"/>
      <c r="C12" s="143"/>
      <c r="D12" s="146"/>
      <c r="E12" s="147"/>
    </row>
    <row r="13" spans="1:6" s="100" customFormat="1" ht="18">
      <c r="A13" s="98"/>
      <c r="B13" s="99"/>
    </row>
    <row r="14" spans="1:6" ht="18">
      <c r="A14" s="61"/>
      <c r="B14" s="38"/>
    </row>
    <row r="15" spans="1:6" s="46" customFormat="1" ht="14">
      <c r="A15" s="36"/>
      <c r="B15" s="38"/>
      <c r="C15" s="148" t="s">
        <v>20</v>
      </c>
      <c r="D15" s="148"/>
      <c r="E15" s="148"/>
    </row>
    <row r="16" spans="1:6" s="46" customFormat="1" ht="14">
      <c r="A16" s="36"/>
      <c r="B16" s="53" t="s">
        <v>22</v>
      </c>
      <c r="C16" s="54" t="s">
        <v>13</v>
      </c>
      <c r="D16" s="54" t="s">
        <v>14</v>
      </c>
      <c r="E16" s="54" t="s">
        <v>124</v>
      </c>
      <c r="F16" s="54" t="s">
        <v>21</v>
      </c>
    </row>
    <row r="17" spans="1:6" s="46" customFormat="1" ht="14">
      <c r="A17" s="36"/>
      <c r="B17" s="58" t="s">
        <v>23</v>
      </c>
      <c r="C17" s="136" t="e">
        <f>SUMPRODUCT(C18:C31,$F$18:$F$31)/SUM($F$18:$F$31)</f>
        <v>#DIV/0!</v>
      </c>
      <c r="D17" s="125" t="e">
        <f>SUMPRODUCT(D18:D31,$F$18:$F$31)/SUM($F$18:$F$31)</f>
        <v>#DIV/0!</v>
      </c>
      <c r="E17" s="125" t="e">
        <f>SUMPRODUCT(E18:E31,$F$18:$F$31)/SUM($F$18:$F$31)</f>
        <v>#DIV/0!</v>
      </c>
      <c r="F17" s="56">
        <f>SUM(F18:F31)</f>
        <v>0.8</v>
      </c>
    </row>
    <row r="18" spans="1:6" s="46" customFormat="1" ht="14">
      <c r="A18" s="36"/>
      <c r="B18" s="69"/>
      <c r="C18" s="62"/>
      <c r="D18" s="62"/>
      <c r="E18" s="62"/>
      <c r="F18" s="90"/>
    </row>
    <row r="19" spans="1:6" s="46" customFormat="1" ht="14">
      <c r="A19" s="36"/>
      <c r="B19" s="70" t="s">
        <v>138</v>
      </c>
      <c r="C19" s="62" t="e">
        <f>C45</f>
        <v>#DIV/0!</v>
      </c>
      <c r="D19" s="62" t="e">
        <f>C68</f>
        <v>#DIV/0!</v>
      </c>
      <c r="E19" s="62" t="e">
        <f>C91</f>
        <v>#DIV/0!</v>
      </c>
      <c r="F19" s="66">
        <v>0.3</v>
      </c>
    </row>
    <row r="20" spans="1:6" s="46" customFormat="1" ht="14">
      <c r="A20" s="36"/>
      <c r="B20" s="70" t="s">
        <v>178</v>
      </c>
      <c r="C20" s="62" t="e">
        <f t="shared" ref="C20:C23" si="0">C46</f>
        <v>#DIV/0!</v>
      </c>
      <c r="D20" s="62" t="e">
        <f t="shared" ref="D20:D23" si="1">C69</f>
        <v>#DIV/0!</v>
      </c>
      <c r="E20" s="62" t="e">
        <f>C92</f>
        <v>#DIV/0!</v>
      </c>
      <c r="F20" s="66">
        <v>0.1</v>
      </c>
    </row>
    <row r="21" spans="1:6" s="46" customFormat="1" ht="14">
      <c r="A21" s="36"/>
      <c r="B21" s="70" t="s">
        <v>179</v>
      </c>
      <c r="C21" s="62" t="e">
        <f t="shared" si="0"/>
        <v>#DIV/0!</v>
      </c>
      <c r="D21" s="62" t="e">
        <f t="shared" si="1"/>
        <v>#DIV/0!</v>
      </c>
      <c r="E21" s="62" t="e">
        <f t="shared" ref="E21:E23" si="2">C93</f>
        <v>#DIV/0!</v>
      </c>
      <c r="F21" s="66">
        <v>0.2</v>
      </c>
    </row>
    <row r="22" spans="1:6" s="46" customFormat="1" ht="14">
      <c r="A22" s="36"/>
      <c r="B22" s="70" t="s">
        <v>180</v>
      </c>
      <c r="C22" s="62" t="e">
        <f t="shared" si="0"/>
        <v>#DIV/0!</v>
      </c>
      <c r="D22" s="62" t="e">
        <f t="shared" si="1"/>
        <v>#DIV/0!</v>
      </c>
      <c r="E22" s="62" t="e">
        <f t="shared" si="2"/>
        <v>#DIV/0!</v>
      </c>
      <c r="F22" s="66">
        <v>0.1</v>
      </c>
    </row>
    <row r="23" spans="1:6" s="46" customFormat="1" ht="14">
      <c r="A23" s="36"/>
      <c r="B23" s="70" t="s">
        <v>174</v>
      </c>
      <c r="C23" s="62" t="e">
        <f t="shared" si="0"/>
        <v>#DIV/0!</v>
      </c>
      <c r="D23" s="62" t="e">
        <f t="shared" si="1"/>
        <v>#DIV/0!</v>
      </c>
      <c r="E23" s="62" t="e">
        <f t="shared" si="2"/>
        <v>#DIV/0!</v>
      </c>
      <c r="F23" s="66">
        <v>0.1</v>
      </c>
    </row>
    <row r="24" spans="1:6" s="46" customFormat="1" ht="14">
      <c r="A24" s="36"/>
      <c r="B24" s="57"/>
      <c r="C24" s="62"/>
      <c r="D24" s="62"/>
      <c r="E24" s="62"/>
      <c r="F24" s="66"/>
    </row>
    <row r="25" spans="1:6" s="46" customFormat="1" ht="14">
      <c r="A25" s="36"/>
      <c r="B25" s="57"/>
      <c r="C25" s="62"/>
      <c r="D25" s="62"/>
      <c r="E25" s="62"/>
      <c r="F25" s="66"/>
    </row>
    <row r="26" spans="1:6" s="46" customFormat="1" ht="14">
      <c r="A26" s="36"/>
      <c r="B26" s="57"/>
      <c r="C26" s="62"/>
      <c r="D26" s="62"/>
      <c r="E26" s="62"/>
      <c r="F26" s="66"/>
    </row>
    <row r="27" spans="1:6" s="46" customFormat="1" ht="14">
      <c r="A27" s="36"/>
      <c r="B27" s="57"/>
      <c r="C27" s="62"/>
      <c r="D27" s="62"/>
      <c r="E27" s="62"/>
      <c r="F27" s="66"/>
    </row>
    <row r="28" spans="1:6" s="46" customFormat="1" ht="14">
      <c r="A28" s="36"/>
      <c r="B28" s="57"/>
      <c r="C28" s="62"/>
      <c r="D28" s="62"/>
      <c r="E28" s="62"/>
      <c r="F28" s="66"/>
    </row>
    <row r="29" spans="1:6" s="46" customFormat="1" ht="14">
      <c r="A29" s="36"/>
      <c r="B29" s="57"/>
      <c r="C29" s="62"/>
      <c r="D29" s="62"/>
      <c r="E29" s="62"/>
      <c r="F29" s="66"/>
    </row>
    <row r="30" spans="1:6" s="46" customFormat="1" ht="14">
      <c r="A30" s="36"/>
      <c r="B30" s="57"/>
      <c r="C30" s="62"/>
      <c r="D30" s="62"/>
      <c r="E30" s="62"/>
      <c r="F30" s="66"/>
    </row>
    <row r="31" spans="1:6" s="46" customFormat="1" ht="14">
      <c r="A31" s="36"/>
      <c r="B31" s="57"/>
      <c r="C31" s="62"/>
      <c r="D31" s="62"/>
      <c r="E31" s="62"/>
      <c r="F31" s="66"/>
    </row>
    <row r="32" spans="1:6" s="46" customFormat="1" ht="14">
      <c r="A32" s="36"/>
      <c r="B32" s="58" t="s">
        <v>24</v>
      </c>
      <c r="C32" s="125">
        <f>SUMPRODUCT(C33:C38,$F$33:$F$38)/SUM($F$33:$F$38)</f>
        <v>0</v>
      </c>
      <c r="D32" s="125">
        <f>SUMPRODUCT(D33:D38,$F$33:$F$38)/SUM($F$33:$F$38)</f>
        <v>0</v>
      </c>
      <c r="E32" s="125">
        <f>SUMPRODUCT(E33:E38,$F$33:$F$38)/SUM($F$33:$F$38)</f>
        <v>0</v>
      </c>
      <c r="F32" s="56">
        <f>SUM(F33:F38)</f>
        <v>0.2</v>
      </c>
    </row>
    <row r="33" spans="1:6" s="46" customFormat="1" ht="14">
      <c r="A33" s="36"/>
      <c r="B33" s="69"/>
      <c r="C33" s="67"/>
      <c r="D33" s="67"/>
      <c r="E33" s="67"/>
      <c r="F33" s="56"/>
    </row>
    <row r="34" spans="1:6" s="46" customFormat="1" ht="14">
      <c r="A34" s="36"/>
      <c r="B34" s="71" t="s">
        <v>52</v>
      </c>
      <c r="C34" s="62">
        <f>C60</f>
        <v>0</v>
      </c>
      <c r="D34" s="62">
        <f>C83</f>
        <v>0</v>
      </c>
      <c r="E34" s="62">
        <f>C106</f>
        <v>0</v>
      </c>
      <c r="F34" s="66">
        <v>0.05</v>
      </c>
    </row>
    <row r="35" spans="1:6" s="46" customFormat="1" ht="14">
      <c r="A35" s="36"/>
      <c r="B35" s="71" t="s">
        <v>34</v>
      </c>
      <c r="C35" s="62">
        <f>C61</f>
        <v>0</v>
      </c>
      <c r="D35" s="62">
        <f>C84</f>
        <v>0</v>
      </c>
      <c r="E35" s="62">
        <f t="shared" ref="E35:E38" si="3">C107</f>
        <v>0</v>
      </c>
      <c r="F35" s="66">
        <v>0.05</v>
      </c>
    </row>
    <row r="36" spans="1:6" s="46" customFormat="1" ht="14">
      <c r="A36" s="36"/>
      <c r="B36" s="71" t="s">
        <v>35</v>
      </c>
      <c r="C36" s="62">
        <f>C62</f>
        <v>0</v>
      </c>
      <c r="D36" s="62">
        <f>C85</f>
        <v>0</v>
      </c>
      <c r="E36" s="62">
        <f t="shared" si="3"/>
        <v>0</v>
      </c>
      <c r="F36" s="66">
        <v>0.05</v>
      </c>
    </row>
    <row r="37" spans="1:6" s="46" customFormat="1" ht="14">
      <c r="A37" s="36"/>
      <c r="B37" s="71" t="s">
        <v>36</v>
      </c>
      <c r="C37" s="62">
        <f>C63</f>
        <v>0</v>
      </c>
      <c r="D37" s="62">
        <f>C86</f>
        <v>0</v>
      </c>
      <c r="E37" s="62">
        <f t="shared" si="3"/>
        <v>0</v>
      </c>
      <c r="F37" s="119">
        <v>2.5000000000000001E-2</v>
      </c>
    </row>
    <row r="38" spans="1:6" s="46" customFormat="1" ht="14">
      <c r="A38" s="36"/>
      <c r="B38" s="71" t="s">
        <v>37</v>
      </c>
      <c r="C38" s="62">
        <f>C64</f>
        <v>0</v>
      </c>
      <c r="D38" s="62">
        <f>C87</f>
        <v>0</v>
      </c>
      <c r="E38" s="62">
        <f t="shared" si="3"/>
        <v>0</v>
      </c>
      <c r="F38" s="119">
        <v>2.5000000000000001E-2</v>
      </c>
    </row>
    <row r="39" spans="1:6" s="46" customFormat="1" ht="14">
      <c r="A39" s="36"/>
      <c r="B39" s="55" t="s">
        <v>15</v>
      </c>
      <c r="C39" s="120" t="e">
        <f>SUMPRODUCT(C18:C31,$F$18:$F$31)+SUMPRODUCT(C33:C38,$F$33:$F$38)</f>
        <v>#DIV/0!</v>
      </c>
      <c r="D39" s="120" t="e">
        <f>SUMPRODUCT(D18:D31,$F$18:$F$31)+SUMPRODUCT(D33:D38,$F$33:$F$38)</f>
        <v>#DIV/0!</v>
      </c>
      <c r="E39" s="120" t="e">
        <f>SUMPRODUCT(E18:E31,$F$18:$F$31)+SUMPRODUCT(E33:E38,$F$33:$F$38)</f>
        <v>#DIV/0!</v>
      </c>
      <c r="F39" s="56">
        <f>SUM(F17,F32)</f>
        <v>1</v>
      </c>
    </row>
    <row r="40" spans="1:6" s="46" customFormat="1" ht="14">
      <c r="A40" s="36"/>
      <c r="B40" s="38"/>
    </row>
    <row r="41" spans="1:6" s="46" customFormat="1" ht="45">
      <c r="C41" s="68" t="s">
        <v>188</v>
      </c>
    </row>
    <row r="42" spans="1:6" s="46" customFormat="1" ht="14">
      <c r="A42" s="36"/>
      <c r="B42" s="53" t="s">
        <v>33</v>
      </c>
      <c r="C42" s="54" t="s">
        <v>13</v>
      </c>
    </row>
    <row r="43" spans="1:6" s="46" customFormat="1" ht="14">
      <c r="A43" s="36"/>
      <c r="B43" s="58" t="s">
        <v>23</v>
      </c>
      <c r="C43" s="62"/>
    </row>
    <row r="44" spans="1:6" s="46" customFormat="1" ht="14">
      <c r="A44" s="36"/>
      <c r="B44" s="69"/>
      <c r="C44" s="62"/>
    </row>
    <row r="45" spans="1:6" s="46" customFormat="1" ht="14">
      <c r="A45" s="36"/>
      <c r="B45" s="70" t="s">
        <v>115</v>
      </c>
      <c r="C45" s="62" t="e">
        <f>SUMIF('Quantitative Evaluation'!B:B,'Score Summary'!B45,'Quantitative Evaluation'!Q:Q)/SUMIF('Quantitative Evaluation'!B:B,'Score Summary'!B45,'Quantitative Evaluation'!E:E)</f>
        <v>#DIV/0!</v>
      </c>
    </row>
    <row r="46" spans="1:6" s="46" customFormat="1" ht="14">
      <c r="A46" s="36"/>
      <c r="B46" s="70" t="s">
        <v>114</v>
      </c>
      <c r="C46" s="62" t="e">
        <f>SUMIF('Quantitative Evaluation'!B:B,'Score Summary'!B46,'Quantitative Evaluation'!Q:Q)/SUMIF('Quantitative Evaluation'!B:B,'Score Summary'!B46,'Quantitative Evaluation'!E:E)</f>
        <v>#DIV/0!</v>
      </c>
    </row>
    <row r="47" spans="1:6" s="46" customFormat="1" ht="14">
      <c r="A47" s="36"/>
      <c r="B47" s="70" t="s">
        <v>116</v>
      </c>
      <c r="C47" s="62" t="e">
        <f>SUMIF('Quantitative Evaluation'!B:B,'Score Summary'!B47,'Quantitative Evaluation'!Q:Q)/SUMIF('Quantitative Evaluation'!B:B,'Score Summary'!B47,'Quantitative Evaluation'!E:E)</f>
        <v>#DIV/0!</v>
      </c>
    </row>
    <row r="48" spans="1:6" s="46" customFormat="1" ht="14">
      <c r="A48" s="36"/>
      <c r="B48" s="70" t="s">
        <v>131</v>
      </c>
      <c r="C48" s="62" t="e">
        <f>SUMIF('Quantitative Evaluation'!B:B,'Score Summary'!B48,'Quantitative Evaluation'!Q:Q)/SUMIF('Quantitative Evaluation'!B:B,'Score Summary'!B48,'Quantitative Evaluation'!E:E)</f>
        <v>#DIV/0!</v>
      </c>
    </row>
    <row r="49" spans="1:3" s="46" customFormat="1" ht="14">
      <c r="A49" s="36"/>
      <c r="B49" s="70" t="s">
        <v>117</v>
      </c>
      <c r="C49" s="62" t="e">
        <f>SUMIF('Quantitative Evaluation'!B:B,'Score Summary'!B49,'Quantitative Evaluation'!Q:Q)/SUMIF('Quantitative Evaluation'!B:B,'Score Summary'!B49,'Quantitative Evaluation'!E:E)</f>
        <v>#DIV/0!</v>
      </c>
    </row>
    <row r="50" spans="1:3" s="46" customFormat="1" ht="14">
      <c r="A50" s="36"/>
      <c r="B50" s="57"/>
      <c r="C50" s="62"/>
    </row>
    <row r="51" spans="1:3" s="46" customFormat="1" ht="14">
      <c r="A51" s="36"/>
      <c r="B51" s="57"/>
      <c r="C51" s="62"/>
    </row>
    <row r="52" spans="1:3" s="46" customFormat="1" ht="14">
      <c r="A52" s="36"/>
      <c r="B52" s="57"/>
      <c r="C52" s="62"/>
    </row>
    <row r="53" spans="1:3" s="46" customFormat="1" ht="14">
      <c r="A53" s="36"/>
      <c r="B53" s="57"/>
      <c r="C53" s="62"/>
    </row>
    <row r="54" spans="1:3" s="46" customFormat="1" ht="14">
      <c r="A54" s="36"/>
      <c r="B54" s="57"/>
      <c r="C54" s="62"/>
    </row>
    <row r="55" spans="1:3" s="46" customFormat="1" ht="14">
      <c r="A55" s="36"/>
      <c r="B55" s="57"/>
      <c r="C55" s="62"/>
    </row>
    <row r="56" spans="1:3" s="46" customFormat="1" ht="14">
      <c r="A56" s="36"/>
      <c r="B56" s="57"/>
      <c r="C56" s="62"/>
    </row>
    <row r="57" spans="1:3" s="46" customFormat="1" ht="14">
      <c r="A57" s="36"/>
      <c r="B57" s="57"/>
      <c r="C57" s="62"/>
    </row>
    <row r="58" spans="1:3" s="46" customFormat="1" ht="14">
      <c r="A58" s="36"/>
      <c r="B58" s="58" t="s">
        <v>24</v>
      </c>
      <c r="C58" s="47"/>
    </row>
    <row r="59" spans="1:3" s="46" customFormat="1" ht="14">
      <c r="A59" s="36"/>
      <c r="B59" s="69"/>
      <c r="C59" s="62"/>
    </row>
    <row r="60" spans="1:3" s="46" customFormat="1" ht="14">
      <c r="A60" s="36"/>
      <c r="B60" s="71" t="s">
        <v>52</v>
      </c>
      <c r="C60" s="62">
        <f>SUMIF('Qualitative Eval'!B:B,'Score Summary'!$B60,'Qualitative Eval'!I:I)/SUMIF('Qualitative Eval'!B:B,'Score Summary'!$B60,'Qualitative Eval'!D:D)</f>
        <v>0</v>
      </c>
    </row>
    <row r="61" spans="1:3" s="46" customFormat="1" ht="14">
      <c r="A61" s="36"/>
      <c r="B61" s="71" t="s">
        <v>34</v>
      </c>
      <c r="C61" s="62">
        <f>SUMIF('Qualitative Eval'!B:B,'Score Summary'!$B61,'Qualitative Eval'!I:I)/SUMIF('Qualitative Eval'!B:B,'Score Summary'!$B61,'Qualitative Eval'!D:D)</f>
        <v>0</v>
      </c>
    </row>
    <row r="62" spans="1:3" s="46" customFormat="1" ht="14">
      <c r="A62" s="36"/>
      <c r="B62" s="71" t="s">
        <v>35</v>
      </c>
      <c r="C62" s="62">
        <f>SUMIF('Qualitative Eval'!B:B,'Score Summary'!$B62,'Qualitative Eval'!I:I)/SUMIF('Qualitative Eval'!B:B,'Score Summary'!$B62,'Qualitative Eval'!D:D)</f>
        <v>0</v>
      </c>
    </row>
    <row r="63" spans="1:3" s="46" customFormat="1" ht="14">
      <c r="A63" s="36"/>
      <c r="B63" s="71" t="s">
        <v>36</v>
      </c>
      <c r="C63" s="62">
        <f>SUMIF('Qualitative Eval'!B:B,'Score Summary'!$B63,'Qualitative Eval'!I:I)/SUMIF('Qualitative Eval'!B:B,'Score Summary'!$B63,'Qualitative Eval'!D:D)</f>
        <v>0</v>
      </c>
    </row>
    <row r="64" spans="1:3" s="46" customFormat="1" ht="14">
      <c r="A64" s="36"/>
      <c r="B64" s="71" t="s">
        <v>37</v>
      </c>
      <c r="C64" s="62">
        <f>SUMIF('Qualitative Eval'!B:B,'Score Summary'!$B64,'Qualitative Eval'!I:I)/SUMIF('Qualitative Eval'!B:B,'Score Summary'!$B64,'Qualitative Eval'!D:D)</f>
        <v>0</v>
      </c>
    </row>
    <row r="65" spans="1:3" s="46" customFormat="1" ht="14">
      <c r="A65" s="36"/>
      <c r="B65" s="53" t="s">
        <v>33</v>
      </c>
      <c r="C65" s="54" t="s">
        <v>14</v>
      </c>
    </row>
    <row r="66" spans="1:3" s="46" customFormat="1" ht="14">
      <c r="A66" s="36"/>
      <c r="B66" s="58" t="s">
        <v>23</v>
      </c>
      <c r="C66" s="47"/>
    </row>
    <row r="67" spans="1:3" s="46" customFormat="1" ht="14">
      <c r="A67" s="36"/>
      <c r="B67" s="69"/>
      <c r="C67" s="62"/>
    </row>
    <row r="68" spans="1:3" s="46" customFormat="1" ht="14">
      <c r="A68" s="36"/>
      <c r="B68" s="70" t="s">
        <v>115</v>
      </c>
      <c r="C68" s="62" t="e">
        <f>SUMIF('Quantitative Evaluation'!B:B,B68,'Quantitative Evaluation'!AC:AC)/SUMIF('Quantitative Evaluation'!B:B,B68,'Quantitative Evaluation'!E:E)</f>
        <v>#DIV/0!</v>
      </c>
    </row>
    <row r="69" spans="1:3" s="46" customFormat="1" ht="14">
      <c r="A69" s="36"/>
      <c r="B69" s="70" t="s">
        <v>114</v>
      </c>
      <c r="C69" s="62" t="e">
        <f>SUMIF('Quantitative Evaluation'!B:B,B69,'Quantitative Evaluation'!AC:AC)/SUMIF('Quantitative Evaluation'!B:B,B69,'Quantitative Evaluation'!E:E)</f>
        <v>#DIV/0!</v>
      </c>
    </row>
    <row r="70" spans="1:3" s="46" customFormat="1" ht="14">
      <c r="A70" s="36"/>
      <c r="B70" s="70" t="s">
        <v>116</v>
      </c>
      <c r="C70" s="62" t="e">
        <f>SUMIF('Quantitative Evaluation'!B:B,B70,'Quantitative Evaluation'!AC:AC)/SUMIF('Quantitative Evaluation'!B:B,B70,'Quantitative Evaluation'!E:E)</f>
        <v>#DIV/0!</v>
      </c>
    </row>
    <row r="71" spans="1:3" s="46" customFormat="1" ht="14">
      <c r="A71" s="36"/>
      <c r="B71" s="70" t="s">
        <v>131</v>
      </c>
      <c r="C71" s="62" t="e">
        <f>SUMIF('Quantitative Evaluation'!B:B,B71,'Quantitative Evaluation'!AC:AC)/SUMIF('Quantitative Evaluation'!B:B,B71,'Quantitative Evaluation'!E:E)</f>
        <v>#DIV/0!</v>
      </c>
    </row>
    <row r="72" spans="1:3" s="46" customFormat="1" ht="14">
      <c r="A72" s="36"/>
      <c r="B72" s="70" t="s">
        <v>117</v>
      </c>
      <c r="C72" s="62" t="e">
        <f>SUMIF('Quantitative Evaluation'!B:B,B72,'Quantitative Evaluation'!AC:AC)/SUMIF('Quantitative Evaluation'!B:B,B72,'Quantitative Evaluation'!E:E)</f>
        <v>#DIV/0!</v>
      </c>
    </row>
    <row r="73" spans="1:3" s="46" customFormat="1" ht="14">
      <c r="A73" s="36"/>
      <c r="B73" s="57"/>
      <c r="C73" s="62"/>
    </row>
    <row r="74" spans="1:3" s="46" customFormat="1" ht="14">
      <c r="A74" s="36"/>
      <c r="B74" s="57"/>
      <c r="C74" s="62"/>
    </row>
    <row r="75" spans="1:3" s="46" customFormat="1" ht="14">
      <c r="A75" s="36"/>
      <c r="B75" s="57"/>
      <c r="C75" s="62"/>
    </row>
    <row r="76" spans="1:3" s="46" customFormat="1" ht="14">
      <c r="A76" s="36"/>
      <c r="B76" s="57"/>
      <c r="C76" s="62"/>
    </row>
    <row r="77" spans="1:3" s="46" customFormat="1" ht="14">
      <c r="A77" s="36"/>
      <c r="B77" s="57"/>
      <c r="C77" s="62"/>
    </row>
    <row r="78" spans="1:3" s="46" customFormat="1" ht="14">
      <c r="A78" s="36"/>
      <c r="B78" s="57"/>
      <c r="C78" s="62"/>
    </row>
    <row r="79" spans="1:3" s="46" customFormat="1" ht="14">
      <c r="A79" s="36"/>
      <c r="B79" s="57"/>
      <c r="C79" s="62"/>
    </row>
    <row r="80" spans="1:3" s="46" customFormat="1" ht="14">
      <c r="A80" s="36"/>
      <c r="B80" s="57"/>
      <c r="C80" s="62"/>
    </row>
    <row r="81" spans="1:3" s="46" customFormat="1" ht="14">
      <c r="A81" s="36"/>
      <c r="B81" s="58" t="s">
        <v>24</v>
      </c>
      <c r="C81" s="47"/>
    </row>
    <row r="82" spans="1:3" s="46" customFormat="1" ht="14">
      <c r="A82" s="36"/>
      <c r="B82" s="69"/>
      <c r="C82" s="62"/>
    </row>
    <row r="83" spans="1:3" s="46" customFormat="1" ht="14">
      <c r="A83" s="36"/>
      <c r="B83" s="71" t="s">
        <v>52</v>
      </c>
      <c r="C83" s="62">
        <f>SUMIF('Qualitative Eval'!B:B,B83,'Qualitative Eval'!N:N)/SUMIF('Qualitative Eval'!B:B,B83,'Qualitative Eval'!D:D)</f>
        <v>0</v>
      </c>
    </row>
    <row r="84" spans="1:3" s="46" customFormat="1" ht="14">
      <c r="A84" s="36"/>
      <c r="B84" s="71" t="s">
        <v>34</v>
      </c>
      <c r="C84" s="62">
        <f>SUMIF('Qualitative Eval'!B:B,B84,'Qualitative Eval'!N:N)/SUMIF('Qualitative Eval'!B:B,B84,'Qualitative Eval'!D:D)</f>
        <v>0</v>
      </c>
    </row>
    <row r="85" spans="1:3" s="46" customFormat="1" ht="14">
      <c r="A85" s="36"/>
      <c r="B85" s="71" t="s">
        <v>35</v>
      </c>
      <c r="C85" s="62">
        <f>SUMIF('Qualitative Eval'!B:B,B85,'Qualitative Eval'!N:N)/SUMIF('Qualitative Eval'!B:B,B85,'Qualitative Eval'!D:D)</f>
        <v>0</v>
      </c>
    </row>
    <row r="86" spans="1:3" s="46" customFormat="1" ht="14">
      <c r="A86" s="36"/>
      <c r="B86" s="71" t="s">
        <v>36</v>
      </c>
      <c r="C86" s="62">
        <f>SUMIF('Qualitative Eval'!B:B,B86,'Qualitative Eval'!N:N)/SUMIF('Qualitative Eval'!B:B,B86,'Qualitative Eval'!D:D)</f>
        <v>0</v>
      </c>
    </row>
    <row r="87" spans="1:3" s="46" customFormat="1" ht="14">
      <c r="A87" s="36"/>
      <c r="B87" s="71" t="s">
        <v>37</v>
      </c>
      <c r="C87" s="62">
        <f>SUMIF('Qualitative Eval'!B:B,B87,'Qualitative Eval'!N:N)/SUMIF('Qualitative Eval'!B:B,B87,'Qualitative Eval'!D:D)</f>
        <v>0</v>
      </c>
    </row>
    <row r="88" spans="1:3" ht="14">
      <c r="B88" s="53" t="s">
        <v>33</v>
      </c>
      <c r="C88" s="54" t="s">
        <v>124</v>
      </c>
    </row>
    <row r="89" spans="1:3">
      <c r="B89" s="58" t="s">
        <v>23</v>
      </c>
      <c r="C89" s="47"/>
    </row>
    <row r="90" spans="1:3">
      <c r="B90" s="69"/>
      <c r="C90" s="62"/>
    </row>
    <row r="91" spans="1:3">
      <c r="B91" s="70" t="s">
        <v>115</v>
      </c>
      <c r="C91" s="62" t="e">
        <f>SUMIF('Quantitative Evaluation'!B:B,B91,'Quantitative Evaluation'!AO:AO)/SUMIF('Quantitative Evaluation'!B:B,B91,'Quantitative Evaluation'!E:E)</f>
        <v>#DIV/0!</v>
      </c>
    </row>
    <row r="92" spans="1:3">
      <c r="B92" s="70" t="s">
        <v>114</v>
      </c>
      <c r="C92" s="62" t="e">
        <f>SUMIF('Quantitative Evaluation'!B:B,B92,'Quantitative Evaluation'!AO:AO)/SUMIF('Quantitative Evaluation'!B:B,B92,'Quantitative Evaluation'!E:E)</f>
        <v>#DIV/0!</v>
      </c>
    </row>
    <row r="93" spans="1:3">
      <c r="B93" s="70" t="s">
        <v>116</v>
      </c>
      <c r="C93" s="62" t="e">
        <f>SUMIF('Quantitative Evaluation'!B:B,B93,'Quantitative Evaluation'!AO:AO)/SUMIF('Quantitative Evaluation'!B:B,B93,'Quantitative Evaluation'!E:E)</f>
        <v>#DIV/0!</v>
      </c>
    </row>
    <row r="94" spans="1:3">
      <c r="B94" s="70" t="s">
        <v>131</v>
      </c>
      <c r="C94" s="62" t="e">
        <f>SUMIF('Quantitative Evaluation'!B:B,B94,'Quantitative Evaluation'!AO:AO)/SUMIF('Quantitative Evaluation'!B:B,B94,'Quantitative Evaluation'!E:E)</f>
        <v>#DIV/0!</v>
      </c>
    </row>
    <row r="95" spans="1:3">
      <c r="B95" s="70" t="s">
        <v>117</v>
      </c>
      <c r="C95" s="62" t="e">
        <f>SUMIF('Quantitative Evaluation'!B:B,B95,'Quantitative Evaluation'!AO:AO)/SUMIF('Quantitative Evaluation'!B:B,B95,'Quantitative Evaluation'!E:E)</f>
        <v>#DIV/0!</v>
      </c>
    </row>
    <row r="96" spans="1:3">
      <c r="B96" s="57"/>
      <c r="C96" s="62"/>
    </row>
    <row r="97" spans="2:3">
      <c r="B97" s="57"/>
      <c r="C97" s="62"/>
    </row>
    <row r="98" spans="2:3">
      <c r="B98" s="57"/>
      <c r="C98" s="62"/>
    </row>
    <row r="99" spans="2:3">
      <c r="B99" s="57"/>
      <c r="C99" s="62"/>
    </row>
    <row r="100" spans="2:3">
      <c r="B100" s="57"/>
      <c r="C100" s="62"/>
    </row>
    <row r="101" spans="2:3">
      <c r="B101" s="57"/>
      <c r="C101" s="62"/>
    </row>
    <row r="102" spans="2:3">
      <c r="B102" s="57"/>
      <c r="C102" s="62"/>
    </row>
    <row r="103" spans="2:3">
      <c r="B103" s="57"/>
      <c r="C103" s="62"/>
    </row>
    <row r="104" spans="2:3">
      <c r="B104" s="58" t="s">
        <v>24</v>
      </c>
      <c r="C104" s="47"/>
    </row>
    <row r="105" spans="2:3">
      <c r="B105" s="69"/>
      <c r="C105" s="62"/>
    </row>
    <row r="106" spans="2:3">
      <c r="B106" s="71" t="s">
        <v>52</v>
      </c>
      <c r="C106" s="62">
        <f>SUMIF('Qualitative Eval'!B:B,B106,'Qualitative Eval'!T:T)/SUMIF('Qualitative Eval'!B:B,B106,'Qualitative Eval'!D:D)</f>
        <v>0</v>
      </c>
    </row>
    <row r="107" spans="2:3">
      <c r="B107" s="71" t="s">
        <v>34</v>
      </c>
      <c r="C107" s="62">
        <f>SUMIF('Qualitative Eval'!B:B,B107,'Qualitative Eval'!T:T)/SUMIF('Qualitative Eval'!B:B,B107,'Qualitative Eval'!D:D)</f>
        <v>0</v>
      </c>
    </row>
    <row r="108" spans="2:3">
      <c r="B108" s="71" t="s">
        <v>35</v>
      </c>
      <c r="C108" s="62">
        <f>SUMIF('Qualitative Eval'!B:B,B108,'Qualitative Eval'!T:T)/SUMIF('Qualitative Eval'!B:B,B108,'Qualitative Eval'!D:D)</f>
        <v>0</v>
      </c>
    </row>
    <row r="109" spans="2:3">
      <c r="B109" s="71" t="s">
        <v>36</v>
      </c>
      <c r="C109" s="62">
        <f>SUMIF('Qualitative Eval'!B:B,B109,'Qualitative Eval'!T:T)/SUMIF('Qualitative Eval'!B:B,B109,'Qualitative Eval'!D:D)</f>
        <v>0</v>
      </c>
    </row>
    <row r="110" spans="2:3">
      <c r="B110" s="71" t="s">
        <v>37</v>
      </c>
      <c r="C110" s="62">
        <f>SUMIF('Qualitative Eval'!B:B,B110,'Qualitative Eval'!T:T)/SUMIF('Qualitative Eval'!B:B,B110,'Qualitative Eval'!D:D)</f>
        <v>0</v>
      </c>
    </row>
  </sheetData>
  <mergeCells count="14">
    <mergeCell ref="B11:B12"/>
    <mergeCell ref="C11:C12"/>
    <mergeCell ref="D11:E12"/>
    <mergeCell ref="C15:E15"/>
    <mergeCell ref="E1:E3"/>
    <mergeCell ref="A1:B3"/>
    <mergeCell ref="C1:D1"/>
    <mergeCell ref="C2:D2"/>
    <mergeCell ref="C3:D3"/>
    <mergeCell ref="D6:E6"/>
    <mergeCell ref="B7:B8"/>
    <mergeCell ref="C7:C8"/>
    <mergeCell ref="D7:E8"/>
    <mergeCell ref="D10:E10"/>
  </mergeCells>
  <phoneticPr fontId="0" type="noConversion"/>
  <pageMargins left="0.31496062992125984" right="0.31496062992125984" top="0.31496062992125984" bottom="0.51181102362204722" header="0.19685039370078741" footer="0.19685039370078741"/>
  <pageSetup paperSize="9" scale="85" fitToHeight="11" orientation="landscape" r:id="rId1"/>
  <headerFooter alignWithMargins="0">
    <oddFooter>&amp;L&amp;8LAST UPDATED: 17 November 2011
FILE REFERENCE: POC Evaluation Sheet&amp;C&amp;8&amp;A&amp;R&amp;8Page &amp;P of &amp;N
Version 1.0</oddFooter>
  </headerFooter>
  <rowBreaks count="2" manualBreakCount="2">
    <brk id="40" max="16383" man="1"/>
    <brk id="6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43"/>
    <pageSetUpPr fitToPage="1"/>
  </sheetPr>
  <dimension ref="A1:AO34"/>
  <sheetViews>
    <sheetView topLeftCell="A18" zoomScale="80" zoomScaleNormal="80" workbookViewId="0">
      <selection activeCell="I27" sqref="I27"/>
    </sheetView>
  </sheetViews>
  <sheetFormatPr baseColWidth="10" defaultColWidth="9.1640625" defaultRowHeight="13"/>
  <cols>
    <col min="1" max="1" width="12" style="46" customWidth="1"/>
    <col min="2" max="2" width="17.33203125" style="46" bestFit="1" customWidth="1"/>
    <col min="3" max="3" width="38.83203125" style="46" customWidth="1"/>
    <col min="4" max="4" width="40.83203125" style="46" customWidth="1"/>
    <col min="5" max="5" width="14.83203125" style="46" customWidth="1"/>
    <col min="6" max="7" width="2.6640625" style="46" customWidth="1"/>
    <col min="8" max="14" width="9.1640625" style="46" customWidth="1"/>
    <col min="15" max="15" width="9.1640625" style="94" customWidth="1"/>
    <col min="16" max="16" width="11.83203125" style="46" customWidth="1"/>
    <col min="17" max="17" width="14.5" style="46" customWidth="1"/>
    <col min="18" max="19" width="2.6640625" style="46" customWidth="1"/>
    <col min="20" max="26" width="9.1640625" style="46"/>
    <col min="27" max="27" width="9.1640625" style="94"/>
    <col min="28" max="28" width="11" style="46" customWidth="1"/>
    <col min="29" max="29" width="16" style="46" customWidth="1"/>
    <col min="30" max="31" width="2.6640625" style="46" customWidth="1"/>
    <col min="32" max="40" width="9.1640625" style="46"/>
    <col min="41" max="41" width="17" style="46" customWidth="1"/>
    <col min="42" max="16384" width="9.1640625" style="46"/>
  </cols>
  <sheetData>
    <row r="1" spans="1:41" ht="14">
      <c r="A1" s="186" t="str">
        <f>'Score Summary'!A1:B3</f>
        <v>Pengembangan Liveness</v>
      </c>
      <c r="B1" s="187"/>
      <c r="C1" s="188"/>
      <c r="D1" s="195" t="s">
        <v>122</v>
      </c>
      <c r="E1" s="196"/>
      <c r="F1" s="196"/>
      <c r="G1" s="196"/>
      <c r="H1" s="196"/>
      <c r="I1" s="196"/>
      <c r="J1" s="196"/>
      <c r="K1" s="196"/>
      <c r="L1" s="196"/>
      <c r="M1" s="196"/>
      <c r="N1" s="196"/>
      <c r="O1" s="196"/>
      <c r="P1" s="196"/>
      <c r="Q1" s="196"/>
      <c r="R1" s="196"/>
      <c r="S1" s="196"/>
      <c r="T1" s="196"/>
      <c r="U1" s="196"/>
      <c r="V1" s="196"/>
      <c r="W1" s="196"/>
      <c r="X1" s="196"/>
      <c r="Y1" s="196"/>
      <c r="Z1" s="197"/>
      <c r="AA1" s="174"/>
      <c r="AB1" s="175"/>
      <c r="AC1" s="176"/>
    </row>
    <row r="2" spans="1:41" ht="14">
      <c r="A2" s="189"/>
      <c r="B2" s="190"/>
      <c r="C2" s="191"/>
      <c r="D2" s="195" t="s">
        <v>109</v>
      </c>
      <c r="E2" s="196"/>
      <c r="F2" s="196"/>
      <c r="G2" s="196"/>
      <c r="H2" s="196"/>
      <c r="I2" s="196"/>
      <c r="J2" s="196"/>
      <c r="K2" s="196"/>
      <c r="L2" s="196"/>
      <c r="M2" s="196"/>
      <c r="N2" s="196"/>
      <c r="O2" s="196"/>
      <c r="P2" s="196"/>
      <c r="Q2" s="196"/>
      <c r="R2" s="196"/>
      <c r="S2" s="196"/>
      <c r="T2" s="196"/>
      <c r="U2" s="196"/>
      <c r="V2" s="196"/>
      <c r="W2" s="196"/>
      <c r="X2" s="196"/>
      <c r="Y2" s="196"/>
      <c r="Z2" s="197"/>
      <c r="AA2" s="177"/>
      <c r="AB2" s="178"/>
      <c r="AC2" s="179"/>
    </row>
    <row r="3" spans="1:41" ht="14">
      <c r="A3" s="192"/>
      <c r="B3" s="193"/>
      <c r="C3" s="194"/>
      <c r="D3" s="195" t="s">
        <v>187</v>
      </c>
      <c r="E3" s="196"/>
      <c r="F3" s="196"/>
      <c r="G3" s="196"/>
      <c r="H3" s="196"/>
      <c r="I3" s="196"/>
      <c r="J3" s="196"/>
      <c r="K3" s="196"/>
      <c r="L3" s="196"/>
      <c r="M3" s="196"/>
      <c r="N3" s="196"/>
      <c r="O3" s="196"/>
      <c r="P3" s="196"/>
      <c r="Q3" s="196"/>
      <c r="R3" s="196"/>
      <c r="S3" s="196"/>
      <c r="T3" s="196"/>
      <c r="U3" s="196"/>
      <c r="V3" s="196"/>
      <c r="W3" s="196"/>
      <c r="X3" s="196"/>
      <c r="Y3" s="196"/>
      <c r="Z3" s="197"/>
      <c r="AA3" s="180"/>
      <c r="AB3" s="181"/>
      <c r="AC3" s="182"/>
    </row>
    <row r="4" spans="1:41" s="42" customFormat="1" ht="18.75" customHeight="1">
      <c r="A4" s="45" t="s">
        <v>38</v>
      </c>
      <c r="B4" s="45"/>
      <c r="O4" s="92"/>
      <c r="AA4" s="92"/>
    </row>
    <row r="5" spans="1:41" s="4" customFormat="1" ht="18">
      <c r="A5" s="61"/>
      <c r="B5" s="61"/>
      <c r="O5" s="93"/>
      <c r="AA5" s="93"/>
    </row>
    <row r="6" spans="1:41" s="4" customFormat="1" ht="43">
      <c r="A6" s="105" t="s">
        <v>19</v>
      </c>
      <c r="B6" s="106"/>
      <c r="C6" s="121" t="s">
        <v>185</v>
      </c>
      <c r="D6" s="107"/>
      <c r="E6" s="108"/>
      <c r="O6" s="93"/>
      <c r="AA6" s="93"/>
    </row>
    <row r="7" spans="1:41" s="4" customFormat="1" ht="29">
      <c r="A7" s="105" t="s">
        <v>39</v>
      </c>
      <c r="B7" s="106"/>
      <c r="C7" s="121" t="s">
        <v>186</v>
      </c>
      <c r="D7" s="107"/>
      <c r="E7" s="108"/>
      <c r="O7" s="93"/>
      <c r="AA7" s="93"/>
    </row>
    <row r="8" spans="1:41" s="4" customFormat="1" ht="28.25" customHeight="1">
      <c r="A8" s="105" t="s">
        <v>40</v>
      </c>
      <c r="B8" s="106"/>
      <c r="C8" s="183" t="s">
        <v>186</v>
      </c>
      <c r="D8" s="184"/>
      <c r="E8" s="185"/>
      <c r="O8" s="93"/>
      <c r="AA8" s="93"/>
    </row>
    <row r="9" spans="1:41" ht="19.5" customHeight="1">
      <c r="A9" s="36"/>
      <c r="B9" s="36"/>
    </row>
    <row r="10" spans="1:41" ht="30">
      <c r="A10" s="77" t="s">
        <v>41</v>
      </c>
      <c r="B10" s="77" t="s">
        <v>42</v>
      </c>
      <c r="C10" s="77" t="s">
        <v>43</v>
      </c>
      <c r="D10" s="77" t="s">
        <v>44</v>
      </c>
      <c r="E10" s="77" t="s">
        <v>45</v>
      </c>
      <c r="H10" s="163" t="s">
        <v>182</v>
      </c>
      <c r="I10" s="164"/>
      <c r="J10" s="164"/>
      <c r="K10" s="164"/>
      <c r="L10" s="164"/>
      <c r="M10" s="164"/>
      <c r="N10" s="164"/>
      <c r="O10" s="164"/>
      <c r="P10" s="164"/>
      <c r="Q10" s="165"/>
      <c r="T10" s="163" t="s">
        <v>183</v>
      </c>
      <c r="U10" s="164"/>
      <c r="V10" s="164"/>
      <c r="W10" s="164"/>
      <c r="X10" s="164"/>
      <c r="Y10" s="164"/>
      <c r="Z10" s="164"/>
      <c r="AA10" s="164"/>
      <c r="AB10" s="164"/>
      <c r="AC10" s="165"/>
      <c r="AF10" s="163" t="s">
        <v>184</v>
      </c>
      <c r="AG10" s="164"/>
      <c r="AH10" s="164"/>
      <c r="AI10" s="164"/>
      <c r="AJ10" s="164"/>
      <c r="AK10" s="164"/>
      <c r="AL10" s="164"/>
      <c r="AM10" s="164"/>
      <c r="AN10" s="164"/>
      <c r="AO10" s="165"/>
    </row>
    <row r="11" spans="1:41" ht="15">
      <c r="A11" s="80"/>
      <c r="B11" s="74"/>
      <c r="C11" s="78"/>
      <c r="D11" s="78"/>
      <c r="E11" s="78"/>
      <c r="H11" s="82" t="s">
        <v>46</v>
      </c>
      <c r="I11" s="83"/>
      <c r="J11" s="82"/>
      <c r="K11" s="83"/>
      <c r="L11" s="82"/>
      <c r="M11" s="83"/>
      <c r="N11" s="82"/>
      <c r="O11" s="83"/>
      <c r="P11" s="82"/>
      <c r="Q11" s="83"/>
      <c r="T11" s="82" t="s">
        <v>46</v>
      </c>
      <c r="U11" s="83"/>
      <c r="V11" s="82"/>
      <c r="W11" s="83"/>
      <c r="X11" s="82"/>
      <c r="Y11" s="83"/>
      <c r="Z11" s="82"/>
      <c r="AA11" s="83"/>
      <c r="AB11" s="82"/>
      <c r="AC11" s="83"/>
      <c r="AF11" s="82" t="s">
        <v>46</v>
      </c>
      <c r="AG11" s="83"/>
      <c r="AH11" s="82"/>
      <c r="AI11" s="83"/>
      <c r="AJ11" s="82"/>
      <c r="AK11" s="83"/>
      <c r="AL11" s="82"/>
      <c r="AM11" s="83"/>
      <c r="AN11" s="82"/>
      <c r="AO11" s="83"/>
    </row>
    <row r="12" spans="1:41" ht="15">
      <c r="A12" s="80"/>
      <c r="B12" s="74"/>
      <c r="C12" s="78"/>
      <c r="D12" s="78"/>
      <c r="E12" s="78"/>
      <c r="H12" s="82" t="s">
        <v>16</v>
      </c>
      <c r="I12" s="83"/>
      <c r="J12" s="82" t="s">
        <v>0</v>
      </c>
      <c r="K12" s="83"/>
      <c r="L12" s="82" t="s">
        <v>1</v>
      </c>
      <c r="M12" s="83"/>
      <c r="N12" s="82" t="s">
        <v>2</v>
      </c>
      <c r="O12" s="83"/>
      <c r="P12" s="169" t="s">
        <v>47</v>
      </c>
      <c r="Q12" s="77" t="s">
        <v>20</v>
      </c>
      <c r="T12" s="82" t="s">
        <v>16</v>
      </c>
      <c r="U12" s="83"/>
      <c r="V12" s="82" t="s">
        <v>0</v>
      </c>
      <c r="W12" s="83"/>
      <c r="X12" s="82" t="s">
        <v>1</v>
      </c>
      <c r="Y12" s="83"/>
      <c r="Z12" s="82" t="s">
        <v>2</v>
      </c>
      <c r="AA12" s="83"/>
      <c r="AB12" s="169" t="s">
        <v>47</v>
      </c>
      <c r="AC12" s="77" t="s">
        <v>20</v>
      </c>
      <c r="AF12" s="82" t="s">
        <v>16</v>
      </c>
      <c r="AG12" s="83"/>
      <c r="AH12" s="82" t="s">
        <v>0</v>
      </c>
      <c r="AI12" s="83"/>
      <c r="AJ12" s="82" t="s">
        <v>1</v>
      </c>
      <c r="AK12" s="83"/>
      <c r="AL12" s="82" t="s">
        <v>2</v>
      </c>
      <c r="AM12" s="83"/>
      <c r="AN12" s="169" t="s">
        <v>47</v>
      </c>
      <c r="AO12" s="77" t="s">
        <v>20</v>
      </c>
    </row>
    <row r="13" spans="1:41" ht="30">
      <c r="A13" s="80"/>
      <c r="B13" s="74"/>
      <c r="C13" s="78"/>
      <c r="D13" s="78"/>
      <c r="E13" s="78"/>
      <c r="H13" s="72" t="s">
        <v>21</v>
      </c>
      <c r="I13" s="82" t="s">
        <v>9</v>
      </c>
      <c r="J13" s="72" t="s">
        <v>21</v>
      </c>
      <c r="K13" s="82" t="s">
        <v>9</v>
      </c>
      <c r="L13" s="72" t="s">
        <v>21</v>
      </c>
      <c r="M13" s="73" t="s">
        <v>9</v>
      </c>
      <c r="N13" s="72" t="s">
        <v>21</v>
      </c>
      <c r="O13" s="39" t="s">
        <v>9</v>
      </c>
      <c r="P13" s="170"/>
      <c r="Q13" s="172" t="s">
        <v>48</v>
      </c>
      <c r="T13" s="72" t="s">
        <v>21</v>
      </c>
      <c r="U13" s="82" t="s">
        <v>9</v>
      </c>
      <c r="V13" s="72" t="s">
        <v>21</v>
      </c>
      <c r="W13" s="82" t="s">
        <v>9</v>
      </c>
      <c r="X13" s="72" t="s">
        <v>21</v>
      </c>
      <c r="Y13" s="73" t="s">
        <v>9</v>
      </c>
      <c r="Z13" s="72" t="s">
        <v>21</v>
      </c>
      <c r="AA13" s="39" t="s">
        <v>9</v>
      </c>
      <c r="AB13" s="170"/>
      <c r="AC13" s="172" t="s">
        <v>48</v>
      </c>
      <c r="AF13" s="72" t="s">
        <v>21</v>
      </c>
      <c r="AG13" s="82" t="s">
        <v>9</v>
      </c>
      <c r="AH13" s="72" t="s">
        <v>21</v>
      </c>
      <c r="AI13" s="82" t="s">
        <v>9</v>
      </c>
      <c r="AJ13" s="72" t="s">
        <v>21</v>
      </c>
      <c r="AK13" s="73" t="s">
        <v>9</v>
      </c>
      <c r="AL13" s="72" t="s">
        <v>21</v>
      </c>
      <c r="AM13" s="122" t="s">
        <v>9</v>
      </c>
      <c r="AN13" s="170"/>
      <c r="AO13" s="172" t="s">
        <v>48</v>
      </c>
    </row>
    <row r="14" spans="1:41" ht="15">
      <c r="A14" s="80"/>
      <c r="B14" s="74"/>
      <c r="C14" s="78"/>
      <c r="D14" s="78"/>
      <c r="E14" s="78"/>
      <c r="H14" s="74"/>
      <c r="I14" s="39" t="s">
        <v>8</v>
      </c>
      <c r="J14" s="74"/>
      <c r="K14" s="39" t="s">
        <v>8</v>
      </c>
      <c r="L14" s="74"/>
      <c r="M14" s="39" t="s">
        <v>8</v>
      </c>
      <c r="N14" s="74"/>
      <c r="O14" s="39" t="s">
        <v>8</v>
      </c>
      <c r="P14" s="170"/>
      <c r="Q14" s="172"/>
      <c r="T14" s="74"/>
      <c r="U14" s="39" t="s">
        <v>8</v>
      </c>
      <c r="V14" s="74"/>
      <c r="W14" s="39" t="s">
        <v>8</v>
      </c>
      <c r="X14" s="74"/>
      <c r="Y14" s="39" t="s">
        <v>8</v>
      </c>
      <c r="Z14" s="74"/>
      <c r="AA14" s="39" t="s">
        <v>8</v>
      </c>
      <c r="AB14" s="170"/>
      <c r="AC14" s="172"/>
      <c r="AF14" s="74"/>
      <c r="AG14" s="122" t="s">
        <v>8</v>
      </c>
      <c r="AH14" s="74"/>
      <c r="AI14" s="122" t="s">
        <v>8</v>
      </c>
      <c r="AJ14" s="74"/>
      <c r="AK14" s="122" t="s">
        <v>8</v>
      </c>
      <c r="AL14" s="74"/>
      <c r="AM14" s="122" t="s">
        <v>8</v>
      </c>
      <c r="AN14" s="170"/>
      <c r="AO14" s="172"/>
    </row>
    <row r="15" spans="1:41" ht="14">
      <c r="A15" s="81"/>
      <c r="B15" s="75"/>
      <c r="C15" s="79"/>
      <c r="D15" s="79"/>
      <c r="E15" s="79"/>
      <c r="H15" s="75"/>
      <c r="I15" s="39">
        <v>3</v>
      </c>
      <c r="J15" s="75"/>
      <c r="K15" s="39">
        <v>1</v>
      </c>
      <c r="L15" s="75"/>
      <c r="M15" s="39">
        <v>3</v>
      </c>
      <c r="N15" s="75"/>
      <c r="O15" s="39">
        <v>3</v>
      </c>
      <c r="P15" s="171"/>
      <c r="Q15" s="173"/>
      <c r="T15" s="75"/>
      <c r="U15" s="39">
        <v>3</v>
      </c>
      <c r="V15" s="75"/>
      <c r="W15" s="39">
        <v>1</v>
      </c>
      <c r="X15" s="75"/>
      <c r="Y15" s="39">
        <v>3</v>
      </c>
      <c r="Z15" s="75"/>
      <c r="AA15" s="39">
        <v>3</v>
      </c>
      <c r="AB15" s="171"/>
      <c r="AC15" s="173"/>
      <c r="AF15" s="75"/>
      <c r="AG15" s="122">
        <v>3</v>
      </c>
      <c r="AH15" s="75"/>
      <c r="AI15" s="122">
        <v>1</v>
      </c>
      <c r="AJ15" s="75"/>
      <c r="AK15" s="122">
        <v>3</v>
      </c>
      <c r="AL15" s="75"/>
      <c r="AM15" s="122">
        <v>3</v>
      </c>
      <c r="AN15" s="171"/>
      <c r="AO15" s="173"/>
    </row>
    <row r="16" spans="1:41" s="48" customFormat="1" ht="84">
      <c r="A16" s="49">
        <v>1</v>
      </c>
      <c r="B16" s="126" t="s">
        <v>150</v>
      </c>
      <c r="C16" s="130" t="s">
        <v>138</v>
      </c>
      <c r="D16" s="127" t="s">
        <v>151</v>
      </c>
      <c r="E16" s="49">
        <v>3</v>
      </c>
      <c r="F16" s="46"/>
      <c r="G16" s="46"/>
      <c r="H16" s="52">
        <v>0.25</v>
      </c>
      <c r="I16" s="84"/>
      <c r="J16" s="52">
        <v>0.25</v>
      </c>
      <c r="K16" s="84"/>
      <c r="L16" s="52">
        <v>0.25</v>
      </c>
      <c r="M16" s="84"/>
      <c r="N16" s="52">
        <v>0.25</v>
      </c>
      <c r="O16" s="84"/>
      <c r="P16" s="97">
        <f>((I16/$I$15)*H16+K16/$K$15*J16+M16/$M$15*L16+O16/$O$15*N16)</f>
        <v>0</v>
      </c>
      <c r="Q16" s="49">
        <f t="shared" ref="Q16" si="0">((I16/$I$15)*H16+K16/$K$15*J16+M16/$M$15*L16+O16/$O$15*N16)*$E16</f>
        <v>0</v>
      </c>
      <c r="R16" s="46"/>
      <c r="S16" s="46"/>
      <c r="T16" s="52">
        <v>0.25</v>
      </c>
      <c r="U16" s="84"/>
      <c r="V16" s="52">
        <v>0.25</v>
      </c>
      <c r="W16" s="84"/>
      <c r="X16" s="52">
        <v>0.25</v>
      </c>
      <c r="Y16" s="84"/>
      <c r="Z16" s="52">
        <v>0.25</v>
      </c>
      <c r="AA16" s="84"/>
      <c r="AB16" s="97">
        <f>((U16/$I$15)*T16+W16/$K$15*V16+Y16/$M$15*X16+AA16/$O$15*Z16)</f>
        <v>0</v>
      </c>
      <c r="AC16" s="49">
        <f t="shared" ref="AC16:AC18" si="1">((U16/$I$15)*T16+W16/$K$15*V16+Y16/$M$15*X16+AA16/$O$15*Z16)*$E16</f>
        <v>0</v>
      </c>
      <c r="AD16" s="46"/>
      <c r="AE16" s="46"/>
      <c r="AF16" s="52">
        <v>0.25</v>
      </c>
      <c r="AG16" s="84"/>
      <c r="AH16" s="52">
        <v>0.25</v>
      </c>
      <c r="AI16" s="84"/>
      <c r="AJ16" s="52">
        <v>0.25</v>
      </c>
      <c r="AK16" s="84"/>
      <c r="AL16" s="52">
        <v>0.25</v>
      </c>
      <c r="AM16" s="84"/>
      <c r="AN16" s="97">
        <f>((AG16/$I$15)*AF16+AI16/$K$15*AH16+AK16/$M$15*AJ16+AM16/$O$15*AL16)</f>
        <v>0</v>
      </c>
      <c r="AO16" s="49">
        <f t="shared" ref="AO16:AO18" si="2">((AG16/$I$15)*AF16+AI16/$K$15*AH16+AK16/$M$15*AJ16+AM16/$O$15*AL16)*$E16</f>
        <v>0</v>
      </c>
    </row>
    <row r="17" spans="1:41" s="48" customFormat="1" ht="84">
      <c r="A17" s="49">
        <v>2</v>
      </c>
      <c r="B17" s="126" t="s">
        <v>149</v>
      </c>
      <c r="C17" s="127" t="s">
        <v>138</v>
      </c>
      <c r="D17" s="127" t="s">
        <v>152</v>
      </c>
      <c r="E17" s="49">
        <v>3</v>
      </c>
      <c r="F17" s="46"/>
      <c r="G17" s="46"/>
      <c r="H17" s="52">
        <v>0.25</v>
      </c>
      <c r="I17" s="84"/>
      <c r="J17" s="52">
        <v>0.25</v>
      </c>
      <c r="K17" s="84"/>
      <c r="L17" s="52">
        <v>0.25</v>
      </c>
      <c r="M17" s="84"/>
      <c r="N17" s="52">
        <v>0.25</v>
      </c>
      <c r="O17" s="84"/>
      <c r="P17" s="97">
        <f t="shared" ref="P17:P18" si="3">((I17/$I$15)*H17+K17/$K$15*J17+M17/$M$15*L17+O17/$O$15*N17)</f>
        <v>0</v>
      </c>
      <c r="Q17" s="49">
        <f t="shared" ref="Q17:Q18" si="4">((I17/$I$15)*H17+K17/$K$15*J17+M17/$M$15*L17+O17/$O$15*N17)*$E17</f>
        <v>0</v>
      </c>
      <c r="R17" s="46"/>
      <c r="S17" s="46"/>
      <c r="T17" s="52">
        <v>0.25</v>
      </c>
      <c r="U17" s="84"/>
      <c r="V17" s="52">
        <v>0.25</v>
      </c>
      <c r="W17" s="84"/>
      <c r="X17" s="52">
        <v>0.25</v>
      </c>
      <c r="Y17" s="84"/>
      <c r="Z17" s="52">
        <v>0.25</v>
      </c>
      <c r="AA17" s="84"/>
      <c r="AB17" s="97">
        <f t="shared" ref="AB17:AB18" si="5">((U17/$I$15)*T17+W17/$K$15*V17+Y17/$M$15*X17+AA17/$O$15*Z17)</f>
        <v>0</v>
      </c>
      <c r="AC17" s="49">
        <f t="shared" si="1"/>
        <v>0</v>
      </c>
      <c r="AD17" s="46"/>
      <c r="AE17" s="46"/>
      <c r="AF17" s="52">
        <v>0.25</v>
      </c>
      <c r="AG17" s="84"/>
      <c r="AH17" s="52">
        <v>0.25</v>
      </c>
      <c r="AI17" s="84"/>
      <c r="AJ17" s="52">
        <v>0.25</v>
      </c>
      <c r="AK17" s="84"/>
      <c r="AL17" s="52">
        <v>0.25</v>
      </c>
      <c r="AM17" s="84"/>
      <c r="AN17" s="97">
        <f t="shared" ref="AN17:AN18" si="6">((AG17/$I$15)*AF17+AI17/$K$15*AH17+AK17/$M$15*AJ17+AM17/$O$15*AL17)</f>
        <v>0</v>
      </c>
      <c r="AO17" s="49">
        <f t="shared" si="2"/>
        <v>0</v>
      </c>
    </row>
    <row r="18" spans="1:41" s="48" customFormat="1" ht="60" customHeight="1">
      <c r="A18" s="49">
        <v>3</v>
      </c>
      <c r="B18" s="126" t="s">
        <v>144</v>
      </c>
      <c r="C18" s="127" t="s">
        <v>138</v>
      </c>
      <c r="D18" s="127" t="s">
        <v>181</v>
      </c>
      <c r="E18" s="49">
        <v>1</v>
      </c>
      <c r="F18" s="46"/>
      <c r="G18" s="46"/>
      <c r="H18" s="52">
        <v>0.3</v>
      </c>
      <c r="I18" s="84"/>
      <c r="J18" s="52">
        <v>0.1</v>
      </c>
      <c r="K18" s="84"/>
      <c r="L18" s="52">
        <v>0.5</v>
      </c>
      <c r="M18" s="84"/>
      <c r="N18" s="52">
        <v>0.1</v>
      </c>
      <c r="O18" s="84"/>
      <c r="P18" s="97">
        <f t="shared" si="3"/>
        <v>0</v>
      </c>
      <c r="Q18" s="49">
        <f t="shared" si="4"/>
        <v>0</v>
      </c>
      <c r="R18" s="46"/>
      <c r="S18" s="46"/>
      <c r="T18" s="52">
        <v>0.3</v>
      </c>
      <c r="U18" s="84"/>
      <c r="V18" s="52">
        <v>0.1</v>
      </c>
      <c r="W18" s="84"/>
      <c r="X18" s="52">
        <v>0.5</v>
      </c>
      <c r="Y18" s="84"/>
      <c r="Z18" s="52">
        <v>0.1</v>
      </c>
      <c r="AA18" s="84"/>
      <c r="AB18" s="97">
        <f t="shared" si="5"/>
        <v>0</v>
      </c>
      <c r="AC18" s="49">
        <f t="shared" si="1"/>
        <v>0</v>
      </c>
      <c r="AD18" s="46"/>
      <c r="AE18" s="46"/>
      <c r="AF18" s="52">
        <v>0.3</v>
      </c>
      <c r="AG18" s="84"/>
      <c r="AH18" s="52">
        <v>0.1</v>
      </c>
      <c r="AI18" s="84"/>
      <c r="AJ18" s="52">
        <v>0.5</v>
      </c>
      <c r="AK18" s="84"/>
      <c r="AL18" s="52">
        <v>0.1</v>
      </c>
      <c r="AM18" s="84"/>
      <c r="AN18" s="97">
        <f t="shared" si="6"/>
        <v>0</v>
      </c>
      <c r="AO18" s="49">
        <f t="shared" si="2"/>
        <v>0</v>
      </c>
    </row>
    <row r="19" spans="1:41" s="48" customFormat="1" ht="24" customHeight="1">
      <c r="A19" s="113" t="s">
        <v>155</v>
      </c>
      <c r="B19" s="76"/>
      <c r="C19" s="86"/>
      <c r="D19" s="87" t="s">
        <v>10</v>
      </c>
      <c r="E19" s="50">
        <f>SUM(E16:E18)</f>
        <v>7</v>
      </c>
      <c r="F19" s="46"/>
      <c r="G19" s="46"/>
      <c r="H19" s="50" t="s">
        <v>49</v>
      </c>
      <c r="I19" s="50">
        <f>SUM(Q16:Q16)</f>
        <v>0</v>
      </c>
      <c r="J19" s="88"/>
      <c r="K19" s="88"/>
      <c r="L19" s="88"/>
      <c r="M19" s="88"/>
      <c r="N19" s="88"/>
      <c r="O19" s="95"/>
      <c r="P19" s="88"/>
      <c r="Q19" s="63">
        <f>I19/$E19</f>
        <v>0</v>
      </c>
      <c r="R19" s="46"/>
      <c r="S19" s="46"/>
      <c r="T19" s="50" t="s">
        <v>49</v>
      </c>
      <c r="U19" s="50">
        <f>SUM(AC16:AC16)</f>
        <v>0</v>
      </c>
      <c r="V19" s="88"/>
      <c r="W19" s="88"/>
      <c r="X19" s="88"/>
      <c r="Y19" s="88"/>
      <c r="Z19" s="88"/>
      <c r="AA19" s="95"/>
      <c r="AB19" s="88"/>
      <c r="AC19" s="63">
        <f>U19/$E19</f>
        <v>0</v>
      </c>
      <c r="AD19" s="46"/>
      <c r="AE19" s="46"/>
      <c r="AF19" s="50" t="s">
        <v>49</v>
      </c>
      <c r="AG19" s="50">
        <f>SUM(AO16:AO16)</f>
        <v>0</v>
      </c>
      <c r="AH19" s="88"/>
      <c r="AI19" s="88"/>
      <c r="AJ19" s="88"/>
      <c r="AK19" s="88"/>
      <c r="AL19" s="88"/>
      <c r="AM19" s="95"/>
      <c r="AN19" s="88"/>
      <c r="AO19" s="63">
        <f>AG19/$E19</f>
        <v>0</v>
      </c>
    </row>
    <row r="20" spans="1:41" s="48" customFormat="1" ht="42">
      <c r="A20" s="60">
        <v>4</v>
      </c>
      <c r="B20" s="126" t="s">
        <v>137</v>
      </c>
      <c r="C20" s="127" t="s">
        <v>142</v>
      </c>
      <c r="D20" s="127" t="s">
        <v>139</v>
      </c>
      <c r="E20" s="49">
        <v>3</v>
      </c>
      <c r="F20" s="46"/>
      <c r="G20" s="46"/>
      <c r="H20" s="52">
        <v>0.25</v>
      </c>
      <c r="I20" s="84"/>
      <c r="J20" s="52">
        <v>0.25</v>
      </c>
      <c r="K20" s="84"/>
      <c r="L20" s="52">
        <v>0.25</v>
      </c>
      <c r="M20" s="84"/>
      <c r="N20" s="52">
        <v>0.25</v>
      </c>
      <c r="O20" s="124"/>
      <c r="P20" s="97">
        <f>((I20/$I$15)*H20+K20/$K$15*J20+M20/$M$15*L20+O20/$O$15*N20)</f>
        <v>0</v>
      </c>
      <c r="Q20" s="49">
        <f>((I20/$I$15)*H20+K20/$K$15*J20+M20/$M$15*L20+O20/$O$15*N20)*$E20</f>
        <v>0</v>
      </c>
      <c r="R20" s="46"/>
      <c r="S20" s="46"/>
      <c r="T20" s="52">
        <v>0.25</v>
      </c>
      <c r="U20" s="84"/>
      <c r="V20" s="52">
        <v>0.25</v>
      </c>
      <c r="W20" s="84"/>
      <c r="X20" s="52">
        <v>0.25</v>
      </c>
      <c r="Y20" s="84"/>
      <c r="Z20" s="52">
        <v>0.25</v>
      </c>
      <c r="AA20" s="124"/>
      <c r="AB20" s="97">
        <f>((U20/$I$15)*T20+W20/$K$15*V20+Y20/$M$15*X20+AA20/$O$15*Z20)</f>
        <v>0</v>
      </c>
      <c r="AC20" s="49">
        <f>((U20/$I$15)*T20+W20/$K$15*V20+Y20/$M$15*X20+AA20/$O$15*Z20)*$E20</f>
        <v>0</v>
      </c>
      <c r="AD20" s="46"/>
      <c r="AE20" s="46"/>
      <c r="AF20" s="52">
        <v>0.25</v>
      </c>
      <c r="AG20" s="84"/>
      <c r="AH20" s="52">
        <v>0.25</v>
      </c>
      <c r="AI20" s="84"/>
      <c r="AJ20" s="52">
        <v>0.25</v>
      </c>
      <c r="AK20" s="84"/>
      <c r="AL20" s="52">
        <v>0.25</v>
      </c>
      <c r="AM20" s="124"/>
      <c r="AN20" s="97">
        <f>((AG20/$I$15)*AF20+AI20/$K$15*AH20+AK20/$M$15*AJ20+AM20/$O$15*AL20)</f>
        <v>0</v>
      </c>
      <c r="AO20" s="49">
        <f>((AG20/$I$15)*AF20+AI20/$K$15*AH20+AK20/$M$15*AJ20+AM20/$O$15*AL20)*$E20</f>
        <v>0</v>
      </c>
    </row>
    <row r="21" spans="1:41" s="48" customFormat="1" ht="29.25" customHeight="1">
      <c r="A21" s="60">
        <v>5</v>
      </c>
      <c r="B21" s="126" t="s">
        <v>140</v>
      </c>
      <c r="C21" s="127" t="s">
        <v>130</v>
      </c>
      <c r="D21" s="127" t="s">
        <v>141</v>
      </c>
      <c r="E21" s="49">
        <v>1</v>
      </c>
      <c r="F21" s="46"/>
      <c r="G21" s="46"/>
      <c r="H21" s="52">
        <v>0.25</v>
      </c>
      <c r="I21" s="84"/>
      <c r="J21" s="52">
        <v>0.25</v>
      </c>
      <c r="K21" s="84"/>
      <c r="L21" s="52">
        <v>0.25</v>
      </c>
      <c r="M21" s="84"/>
      <c r="N21" s="52">
        <v>0.25</v>
      </c>
      <c r="O21" s="124"/>
      <c r="P21" s="97">
        <f>((I21/$I$15)*H21+K21/$K$15*J21+M21/$M$15*L21+O21/$O$15*N21)</f>
        <v>0</v>
      </c>
      <c r="Q21" s="49">
        <f>((I21/$I$15)*H21+K21/$K$15*J21+M21/$M$15*L21+O21/$O$15*N21)*$E21</f>
        <v>0</v>
      </c>
      <c r="R21" s="46"/>
      <c r="S21" s="46"/>
      <c r="T21" s="52">
        <v>0.25</v>
      </c>
      <c r="U21" s="84"/>
      <c r="V21" s="52">
        <v>0.25</v>
      </c>
      <c r="W21" s="84"/>
      <c r="X21" s="52">
        <v>0.25</v>
      </c>
      <c r="Y21" s="84"/>
      <c r="Z21" s="52">
        <v>0.25</v>
      </c>
      <c r="AA21" s="124"/>
      <c r="AB21" s="97">
        <f>((U21/$I$15)*T21+W21/$K$15*V21+Y21/$M$15*X21+AA21/$O$15*Z21)</f>
        <v>0</v>
      </c>
      <c r="AC21" s="49">
        <f>((U21/$I$15)*T21+W21/$K$15*V21+Y21/$M$15*X21+AA21/$O$15*Z21)*$E21</f>
        <v>0</v>
      </c>
      <c r="AD21" s="46"/>
      <c r="AE21" s="46"/>
      <c r="AF21" s="52">
        <v>0.25</v>
      </c>
      <c r="AG21" s="84"/>
      <c r="AH21" s="52">
        <v>0.25</v>
      </c>
      <c r="AI21" s="84"/>
      <c r="AJ21" s="52">
        <v>0.25</v>
      </c>
      <c r="AK21" s="84"/>
      <c r="AL21" s="52">
        <v>0.25</v>
      </c>
      <c r="AM21" s="124"/>
      <c r="AN21" s="97">
        <f>((AG21/$I$15)*AF21+AI21/$K$15*AH21+AK21/$M$15*AJ21+AM21/$O$15*AL21)</f>
        <v>0</v>
      </c>
      <c r="AO21" s="49">
        <f>((AG21/$I$15)*AF21+AI21/$K$15*AH21+AK21/$M$15*AJ21+AM21/$O$15*AL21)*$E21</f>
        <v>0</v>
      </c>
    </row>
    <row r="22" spans="1:41" s="48" customFormat="1" ht="24" customHeight="1">
      <c r="A22" s="113" t="s">
        <v>156</v>
      </c>
      <c r="B22" s="85"/>
      <c r="C22" s="86"/>
      <c r="D22" s="87" t="s">
        <v>10</v>
      </c>
      <c r="E22" s="50">
        <f>SUM(E20:E21)</f>
        <v>4</v>
      </c>
      <c r="F22" s="46"/>
      <c r="G22" s="46"/>
      <c r="H22" s="50" t="s">
        <v>49</v>
      </c>
      <c r="I22" s="50">
        <f>SUM(Q20:Q21)</f>
        <v>0</v>
      </c>
      <c r="J22" s="88"/>
      <c r="K22" s="88"/>
      <c r="L22" s="88"/>
      <c r="M22" s="88"/>
      <c r="N22" s="88"/>
      <c r="O22" s="95"/>
      <c r="P22" s="89"/>
      <c r="Q22" s="64">
        <f>I22/$E22</f>
        <v>0</v>
      </c>
      <c r="R22" s="46"/>
      <c r="S22" s="46"/>
      <c r="T22" s="50" t="s">
        <v>49</v>
      </c>
      <c r="U22" s="50">
        <f>SUM(AC20:AC21)</f>
        <v>0</v>
      </c>
      <c r="V22" s="88"/>
      <c r="W22" s="88"/>
      <c r="X22" s="88"/>
      <c r="Y22" s="88"/>
      <c r="Z22" s="88"/>
      <c r="AA22" s="95"/>
      <c r="AB22" s="89"/>
      <c r="AC22" s="64">
        <f>U22/$E22</f>
        <v>0</v>
      </c>
      <c r="AD22" s="46"/>
      <c r="AE22" s="46"/>
      <c r="AF22" s="50" t="s">
        <v>49</v>
      </c>
      <c r="AG22" s="50">
        <f>SUM(AO20:AO21)</f>
        <v>0</v>
      </c>
      <c r="AH22" s="88"/>
      <c r="AI22" s="88"/>
      <c r="AJ22" s="88"/>
      <c r="AK22" s="88"/>
      <c r="AL22" s="88"/>
      <c r="AM22" s="95"/>
      <c r="AN22" s="89"/>
      <c r="AO22" s="64">
        <f>AG22/$E22</f>
        <v>0</v>
      </c>
    </row>
    <row r="23" spans="1:41" ht="80.25" customHeight="1">
      <c r="A23" s="49">
        <v>6</v>
      </c>
      <c r="B23" s="126" t="s">
        <v>145</v>
      </c>
      <c r="C23" s="127" t="s">
        <v>143</v>
      </c>
      <c r="D23" s="127" t="s">
        <v>146</v>
      </c>
      <c r="E23" s="49">
        <v>3</v>
      </c>
      <c r="H23" s="52">
        <v>0.25</v>
      </c>
      <c r="I23" s="84"/>
      <c r="J23" s="52">
        <v>0.25</v>
      </c>
      <c r="K23" s="84"/>
      <c r="L23" s="52">
        <v>0.25</v>
      </c>
      <c r="M23" s="84"/>
      <c r="N23" s="52">
        <v>0.25</v>
      </c>
      <c r="O23" s="124"/>
      <c r="P23" s="97">
        <f>((I23/$I$15)*H23+K23/$K$15*J23+M23/$M$15*L23+O23/$O$15*N23)</f>
        <v>0</v>
      </c>
      <c r="Q23" s="49">
        <f>((I23/$I$15)*H23+K23/$K$15*J23+M23/$M$15*L23+O23/$O$15*N23)*$E23</f>
        <v>0</v>
      </c>
      <c r="T23" s="52">
        <v>0.25</v>
      </c>
      <c r="U23" s="84"/>
      <c r="V23" s="52">
        <v>0.25</v>
      </c>
      <c r="W23" s="84"/>
      <c r="X23" s="52">
        <v>0.25</v>
      </c>
      <c r="Y23" s="84"/>
      <c r="Z23" s="52">
        <v>0.25</v>
      </c>
      <c r="AA23" s="124"/>
      <c r="AB23" s="97">
        <f>((U23/$I$15)*T23+W23/$K$15*V23+Y23/$M$15*X23+AA23/$O$15*Z23)</f>
        <v>0</v>
      </c>
      <c r="AC23" s="49">
        <f>((U23/$I$15)*T23+W23/$K$15*V23+Y23/$M$15*X23+AA23/$O$15*Z23)*$E23</f>
        <v>0</v>
      </c>
      <c r="AF23" s="52">
        <v>0.25</v>
      </c>
      <c r="AG23" s="84"/>
      <c r="AH23" s="52">
        <v>0.25</v>
      </c>
      <c r="AI23" s="84"/>
      <c r="AJ23" s="52">
        <v>0.25</v>
      </c>
      <c r="AK23" s="84"/>
      <c r="AL23" s="52">
        <v>0.25</v>
      </c>
      <c r="AM23" s="124"/>
      <c r="AN23" s="97">
        <f>((AG23/$I$15)*AF23+AI23/$K$15*AH23+AK23/$M$15*AJ23+AM23/$O$15*AL23)</f>
        <v>0</v>
      </c>
      <c r="AO23" s="49">
        <f>((AG23/$I$15)*AF23+AI23/$K$15*AH23+AK23/$M$15*AJ23+AM23/$O$15*AL23)*$E23</f>
        <v>0</v>
      </c>
    </row>
    <row r="24" spans="1:41" ht="80.25" customHeight="1">
      <c r="A24" s="49">
        <v>7</v>
      </c>
      <c r="B24" s="126" t="s">
        <v>147</v>
      </c>
      <c r="C24" s="127" t="s">
        <v>143</v>
      </c>
      <c r="D24" s="127" t="s">
        <v>148</v>
      </c>
      <c r="E24" s="49">
        <v>3</v>
      </c>
      <c r="H24" s="52">
        <v>0.25</v>
      </c>
      <c r="I24" s="84"/>
      <c r="J24" s="52">
        <v>0.25</v>
      </c>
      <c r="K24" s="84"/>
      <c r="L24" s="52">
        <v>0.25</v>
      </c>
      <c r="M24" s="84"/>
      <c r="N24" s="52">
        <v>0.25</v>
      </c>
      <c r="O24" s="124"/>
      <c r="P24" s="97">
        <f>((I24/$I$15)*H24+K24/$K$15*J24+M24/$M$15*L24+O24/$O$15*N24)</f>
        <v>0</v>
      </c>
      <c r="Q24" s="129"/>
      <c r="T24" s="52">
        <v>0.25</v>
      </c>
      <c r="U24" s="84"/>
      <c r="V24" s="52">
        <v>0.25</v>
      </c>
      <c r="W24" s="84"/>
      <c r="X24" s="52">
        <v>0.25</v>
      </c>
      <c r="Y24" s="84"/>
      <c r="Z24" s="52">
        <v>0.25</v>
      </c>
      <c r="AA24" s="124"/>
      <c r="AB24" s="97">
        <f>((U24/$I$15)*T24+W24/$K$15*V24+Y24/$M$15*X24+AA24/$O$15*Z24)</f>
        <v>0</v>
      </c>
      <c r="AC24" s="129"/>
      <c r="AF24" s="52">
        <v>0.25</v>
      </c>
      <c r="AG24" s="84"/>
      <c r="AH24" s="52">
        <v>0.25</v>
      </c>
      <c r="AI24" s="84"/>
      <c r="AJ24" s="52">
        <v>0.25</v>
      </c>
      <c r="AK24" s="84"/>
      <c r="AL24" s="52">
        <v>0.25</v>
      </c>
      <c r="AM24" s="124"/>
      <c r="AN24" s="97">
        <f>((AG24/$I$15)*AF24+AI24/$K$15*AH24+AK24/$M$15*AJ24+AM24/$O$15*AL24)</f>
        <v>0</v>
      </c>
      <c r="AO24" s="129"/>
    </row>
    <row r="25" spans="1:41" ht="80.25" customHeight="1">
      <c r="A25" s="131">
        <v>8</v>
      </c>
      <c r="B25" s="128" t="s">
        <v>159</v>
      </c>
      <c r="C25" s="128" t="s">
        <v>159</v>
      </c>
      <c r="D25" s="128" t="s">
        <v>160</v>
      </c>
      <c r="E25" s="49">
        <v>2</v>
      </c>
      <c r="H25" s="52">
        <v>0.25</v>
      </c>
      <c r="I25" s="84"/>
      <c r="J25" s="52">
        <v>0.25</v>
      </c>
      <c r="K25" s="84"/>
      <c r="L25" s="52">
        <v>0.25</v>
      </c>
      <c r="M25" s="84"/>
      <c r="N25" s="52">
        <v>0.25</v>
      </c>
      <c r="O25" s="124"/>
      <c r="P25" s="97">
        <f>((I25/$I$15)*H25+K25/$K$15*J25+M25/$M$15*L25+O25/$O$15*N25)</f>
        <v>0</v>
      </c>
      <c r="Q25" s="129"/>
      <c r="T25" s="52">
        <v>0.25</v>
      </c>
      <c r="U25" s="84"/>
      <c r="V25" s="52">
        <v>0.25</v>
      </c>
      <c r="W25" s="84"/>
      <c r="X25" s="52">
        <v>0.25</v>
      </c>
      <c r="Y25" s="84"/>
      <c r="Z25" s="52">
        <v>0.25</v>
      </c>
      <c r="AA25" s="124"/>
      <c r="AB25" s="97">
        <f>((U25/$I$15)*T25+W25/$K$15*V25+Y25/$M$15*X25+AA25/$O$15*Z25)</f>
        <v>0</v>
      </c>
      <c r="AC25" s="129"/>
      <c r="AF25" s="52">
        <v>0.25</v>
      </c>
      <c r="AG25" s="84"/>
      <c r="AH25" s="52">
        <v>0.25</v>
      </c>
      <c r="AI25" s="84"/>
      <c r="AJ25" s="52">
        <v>0.25</v>
      </c>
      <c r="AK25" s="84"/>
      <c r="AL25" s="52">
        <v>0.25</v>
      </c>
      <c r="AM25" s="124"/>
      <c r="AN25" s="97">
        <f>((AG25/$I$15)*AF25+AI25/$K$15*AH25+AK25/$M$15*AJ25+AM25/$O$15*AL25)</f>
        <v>0</v>
      </c>
      <c r="AO25" s="129"/>
    </row>
    <row r="26" spans="1:41" ht="25.5" customHeight="1">
      <c r="A26" s="166" t="s">
        <v>157</v>
      </c>
      <c r="B26" s="167"/>
      <c r="C26" s="168"/>
      <c r="D26" s="87" t="s">
        <v>10</v>
      </c>
      <c r="E26" s="50">
        <f>SUM(E23:E25)</f>
        <v>8</v>
      </c>
      <c r="H26" s="50" t="s">
        <v>49</v>
      </c>
      <c r="I26" s="50">
        <f>SUM(Q23:Q23)</f>
        <v>0</v>
      </c>
      <c r="J26" s="88"/>
      <c r="K26" s="88"/>
      <c r="L26" s="88"/>
      <c r="M26" s="88"/>
      <c r="N26" s="88"/>
      <c r="O26" s="95"/>
      <c r="P26" s="89"/>
      <c r="Q26" s="64">
        <f>I26/$E26</f>
        <v>0</v>
      </c>
      <c r="T26" s="50" t="s">
        <v>49</v>
      </c>
      <c r="U26" s="50">
        <f>SUM(AC23:AC23)</f>
        <v>0</v>
      </c>
      <c r="V26" s="88"/>
      <c r="W26" s="88"/>
      <c r="X26" s="88"/>
      <c r="Y26" s="88"/>
      <c r="Z26" s="88"/>
      <c r="AA26" s="95"/>
      <c r="AB26" s="89"/>
      <c r="AC26" s="64">
        <f>U26/$E26</f>
        <v>0</v>
      </c>
      <c r="AF26" s="50" t="s">
        <v>49</v>
      </c>
      <c r="AG26" s="50">
        <f>SUM(AO23:AO23)</f>
        <v>0</v>
      </c>
      <c r="AH26" s="88"/>
      <c r="AI26" s="88"/>
      <c r="AJ26" s="88"/>
      <c r="AK26" s="88"/>
      <c r="AL26" s="88"/>
      <c r="AM26" s="95"/>
      <c r="AN26" s="89"/>
      <c r="AO26" s="64">
        <f>AG26/$E26</f>
        <v>0</v>
      </c>
    </row>
    <row r="27" spans="1:41" ht="45">
      <c r="A27" s="49">
        <v>9</v>
      </c>
      <c r="B27" s="126" t="s">
        <v>171</v>
      </c>
      <c r="C27" s="132" t="s">
        <v>161</v>
      </c>
      <c r="D27" s="133" t="s">
        <v>162</v>
      </c>
      <c r="E27" s="49">
        <v>3</v>
      </c>
      <c r="H27" s="52">
        <v>0.5</v>
      </c>
      <c r="I27" s="84">
        <v>3</v>
      </c>
      <c r="J27" s="52">
        <v>0.1</v>
      </c>
      <c r="K27" s="84">
        <v>1</v>
      </c>
      <c r="L27" s="52">
        <v>0.3</v>
      </c>
      <c r="M27" s="84">
        <v>2</v>
      </c>
      <c r="N27" s="52">
        <f>1-L27-J27-H27</f>
        <v>9.9999999999999978E-2</v>
      </c>
      <c r="O27" s="96">
        <v>2</v>
      </c>
      <c r="P27" s="97">
        <f>((I27/$I$15)*H27+K27/$K$15*J27+M27/$M$15*L27+O27/$O$15*N27)</f>
        <v>0.86666666666666659</v>
      </c>
      <c r="Q27" s="49">
        <f>((I27/$I$15)*H27+K27/$K$15*J27+M27/$M$15*L27+O27/$O$15*N27)*$E27</f>
        <v>2.5999999999999996</v>
      </c>
      <c r="T27" s="52">
        <v>0.5</v>
      </c>
      <c r="U27" s="84">
        <v>3</v>
      </c>
      <c r="V27" s="52">
        <v>0.1</v>
      </c>
      <c r="W27" s="84">
        <v>0</v>
      </c>
      <c r="X27" s="52">
        <v>0.3</v>
      </c>
      <c r="Y27" s="84">
        <v>2</v>
      </c>
      <c r="Z27" s="52">
        <f>1-X27-V27-T27</f>
        <v>9.9999999999999978E-2</v>
      </c>
      <c r="AA27" s="96">
        <v>2</v>
      </c>
      <c r="AB27" s="97">
        <f>((U27/$I$15)*T27+W27/$K$15*V27+Y27/$M$15*X27+AA27/$O$15*Z27)</f>
        <v>0.76666666666666661</v>
      </c>
      <c r="AC27" s="49">
        <f>((U27/$I$15)*T27+W27/$K$15*V27+Y27/$M$15*X27+AA27/$O$15*Z27)*$E27</f>
        <v>2.2999999999999998</v>
      </c>
      <c r="AF27" s="52">
        <v>0.5</v>
      </c>
      <c r="AG27" s="84">
        <v>0</v>
      </c>
      <c r="AH27" s="52">
        <v>0.1</v>
      </c>
      <c r="AI27" s="84">
        <v>0</v>
      </c>
      <c r="AJ27" s="52">
        <v>0.3</v>
      </c>
      <c r="AK27" s="84">
        <v>0</v>
      </c>
      <c r="AL27" s="52">
        <f>1-AJ27-AH27-AF27</f>
        <v>9.9999999999999978E-2</v>
      </c>
      <c r="AM27" s="96">
        <v>0</v>
      </c>
      <c r="AN27" s="97">
        <f>((AG27/$I$15)*AF27+AI27/$K$15*AH27+AK27/$M$15*AJ27+AM27/$O$15*AL27)</f>
        <v>0</v>
      </c>
      <c r="AO27" s="49">
        <f>((AG27/$I$15)*AF27+AI27/$K$15*AH27+AK27/$M$15*AJ27+AM27/$O$15*AL27)*$E27</f>
        <v>0</v>
      </c>
    </row>
    <row r="28" spans="1:41" ht="15">
      <c r="A28" s="49">
        <v>10</v>
      </c>
      <c r="B28" s="127" t="s">
        <v>153</v>
      </c>
      <c r="C28" s="132" t="s">
        <v>163</v>
      </c>
      <c r="D28" s="133" t="s">
        <v>164</v>
      </c>
      <c r="E28" s="49">
        <v>3</v>
      </c>
      <c r="H28" s="52">
        <v>0.5</v>
      </c>
      <c r="I28" s="84">
        <v>3</v>
      </c>
      <c r="J28" s="52">
        <v>0.1</v>
      </c>
      <c r="K28" s="84">
        <v>1</v>
      </c>
      <c r="L28" s="52">
        <v>0.3</v>
      </c>
      <c r="M28" s="84">
        <v>2</v>
      </c>
      <c r="N28" s="52">
        <f>1-L28-J28-H28</f>
        <v>9.9999999999999978E-2</v>
      </c>
      <c r="O28" s="96">
        <v>2</v>
      </c>
      <c r="P28" s="97">
        <f>((I28/$I$15)*H28+K28/$K$15*J28+M28/$M$15*L28+O28/$O$15*N28)</f>
        <v>0.86666666666666659</v>
      </c>
      <c r="Q28" s="49">
        <f>((I28/$I$15)*H28+K28/$K$15*J28+M28/$M$15*L28+O28/$O$15*N28)*$E28</f>
        <v>2.5999999999999996</v>
      </c>
      <c r="T28" s="52">
        <v>0.5</v>
      </c>
      <c r="U28" s="84">
        <v>1</v>
      </c>
      <c r="V28" s="52">
        <v>0.1</v>
      </c>
      <c r="W28" s="84">
        <v>1</v>
      </c>
      <c r="X28" s="52">
        <v>0.3</v>
      </c>
      <c r="Y28" s="84">
        <v>1</v>
      </c>
      <c r="Z28" s="52">
        <f>1-X28-V28-T28</f>
        <v>9.9999999999999978E-2</v>
      </c>
      <c r="AA28" s="96">
        <v>1</v>
      </c>
      <c r="AB28" s="97">
        <f>((U28/$I$15)*T28+W28/$K$15*V28+Y28/$M$15*X28+AA28/$O$15*Z28)</f>
        <v>0.39999999999999997</v>
      </c>
      <c r="AC28" s="49">
        <f>((U28/$I$15)*T28+W28/$K$15*V28+Y28/$M$15*X28+AA28/$O$15*Z28)*$E28</f>
        <v>1.2</v>
      </c>
      <c r="AF28" s="52">
        <v>0.5</v>
      </c>
      <c r="AG28" s="84">
        <v>0</v>
      </c>
      <c r="AH28" s="52">
        <v>0.1</v>
      </c>
      <c r="AI28" s="84">
        <v>0</v>
      </c>
      <c r="AJ28" s="52">
        <v>0.3</v>
      </c>
      <c r="AK28" s="84">
        <v>0</v>
      </c>
      <c r="AL28" s="52">
        <f>1-AJ28-AH28-AF28</f>
        <v>9.9999999999999978E-2</v>
      </c>
      <c r="AM28" s="96">
        <v>0</v>
      </c>
      <c r="AN28" s="97">
        <f>((AG28/$I$15)*AF28+AI28/$K$15*AH28+AK28/$M$15*AJ28+AM28/$O$15*AL28)</f>
        <v>0</v>
      </c>
      <c r="AO28" s="49">
        <f>((AG28/$I$15)*AF28+AI28/$K$15*AH28+AK28/$M$15*AJ28+AM28/$O$15*AL28)*$E28</f>
        <v>0</v>
      </c>
    </row>
    <row r="29" spans="1:41" ht="45">
      <c r="A29" s="49">
        <v>11</v>
      </c>
      <c r="B29" s="127" t="s">
        <v>172</v>
      </c>
      <c r="C29" s="132" t="s">
        <v>165</v>
      </c>
      <c r="D29" s="133" t="s">
        <v>166</v>
      </c>
      <c r="E29" s="49">
        <v>3</v>
      </c>
      <c r="H29" s="52">
        <v>0.5</v>
      </c>
      <c r="I29" s="84">
        <v>3</v>
      </c>
      <c r="J29" s="52">
        <v>0.1</v>
      </c>
      <c r="K29" s="84">
        <v>1</v>
      </c>
      <c r="L29" s="52">
        <v>0.3</v>
      </c>
      <c r="M29" s="84">
        <v>3</v>
      </c>
      <c r="N29" s="52">
        <f>1-L29-J29-H29</f>
        <v>9.9999999999999978E-2</v>
      </c>
      <c r="O29" s="96">
        <v>3</v>
      </c>
      <c r="P29" s="97">
        <f>((I29/$I$15)*H29+K29/$K$15*J29+M29/$M$15*L29+O29/$O$15*N29)</f>
        <v>0.99999999999999989</v>
      </c>
      <c r="Q29" s="49">
        <f>((I29/$I$15)*H29+K29/$K$15*J29+M29/$M$15*L29+O29/$O$15*N29)*$E29</f>
        <v>2.9999999999999996</v>
      </c>
      <c r="T29" s="52">
        <v>0.5</v>
      </c>
      <c r="U29" s="84">
        <v>0</v>
      </c>
      <c r="V29" s="52">
        <v>0.1</v>
      </c>
      <c r="W29" s="84">
        <v>0</v>
      </c>
      <c r="X29" s="52">
        <v>0.3</v>
      </c>
      <c r="Y29" s="84">
        <v>0</v>
      </c>
      <c r="Z29" s="52">
        <f>1-X29-V29-T29</f>
        <v>9.9999999999999978E-2</v>
      </c>
      <c r="AA29" s="96">
        <v>0</v>
      </c>
      <c r="AB29" s="97">
        <f>((U29/$I$15)*T29+W29/$K$15*V29+Y29/$M$15*X29+AA29/$O$15*Z29)</f>
        <v>0</v>
      </c>
      <c r="AC29" s="49">
        <f>((U29/$I$15)*T29+W29/$K$15*V29+Y29/$M$15*X29+AA29/$O$15*Z29)*$E29</f>
        <v>0</v>
      </c>
      <c r="AF29" s="52">
        <v>0.5</v>
      </c>
      <c r="AG29" s="84">
        <v>0</v>
      </c>
      <c r="AH29" s="52">
        <v>0.1</v>
      </c>
      <c r="AI29" s="84">
        <v>0</v>
      </c>
      <c r="AJ29" s="52">
        <v>0.3</v>
      </c>
      <c r="AK29" s="84">
        <v>0</v>
      </c>
      <c r="AL29" s="52">
        <f>1-AJ29-AH29-AF29</f>
        <v>9.9999999999999978E-2</v>
      </c>
      <c r="AM29" s="96">
        <v>0</v>
      </c>
      <c r="AN29" s="97">
        <f>((AG29/$I$15)*AF29+AI29/$K$15*AH29+AK29/$M$15*AJ29+AM29/$O$15*AL29)</f>
        <v>0</v>
      </c>
      <c r="AO29" s="49">
        <f>((AG29/$I$15)*AF29+AI29/$K$15*AH29+AK29/$M$15*AJ29+AM29/$O$15*AL29)*$E29</f>
        <v>0</v>
      </c>
    </row>
    <row r="30" spans="1:41" ht="30">
      <c r="A30" s="49">
        <v>12</v>
      </c>
      <c r="B30" s="127" t="s">
        <v>154</v>
      </c>
      <c r="C30" s="132" t="s">
        <v>167</v>
      </c>
      <c r="D30" s="133" t="s">
        <v>168</v>
      </c>
      <c r="E30" s="49">
        <v>3</v>
      </c>
      <c r="H30" s="52">
        <v>0.5</v>
      </c>
      <c r="I30" s="84">
        <v>3</v>
      </c>
      <c r="J30" s="52">
        <v>0.1</v>
      </c>
      <c r="K30" s="84">
        <v>1</v>
      </c>
      <c r="L30" s="52">
        <v>0.3</v>
      </c>
      <c r="M30" s="84">
        <v>1</v>
      </c>
      <c r="N30" s="52">
        <f>1-L30-J30-H30</f>
        <v>9.9999999999999978E-2</v>
      </c>
      <c r="O30" s="96">
        <v>1</v>
      </c>
      <c r="P30" s="97">
        <f>((I30/$I$15)*H30+K30/$K$15*J30+M30/$M$15*L30+O30/$O$15*N30)</f>
        <v>0.73333333333333328</v>
      </c>
      <c r="Q30" s="49">
        <f>((I30/$I$15)*H30+K30/$K$15*J30+M30/$M$15*L30+O30/$O$15*N30)*$E30</f>
        <v>2.1999999999999997</v>
      </c>
      <c r="T30" s="52">
        <v>0.5</v>
      </c>
      <c r="U30" s="84">
        <v>0</v>
      </c>
      <c r="V30" s="52">
        <v>0.1</v>
      </c>
      <c r="W30" s="84">
        <v>0</v>
      </c>
      <c r="X30" s="52">
        <v>0.3</v>
      </c>
      <c r="Y30" s="84">
        <v>0</v>
      </c>
      <c r="Z30" s="52">
        <f>1-X30-V30-T30</f>
        <v>9.9999999999999978E-2</v>
      </c>
      <c r="AA30" s="96">
        <v>0</v>
      </c>
      <c r="AB30" s="97">
        <f>((U30/$I$15)*T30+W30/$K$15*V30+Y30/$M$15*X30+AA30/$O$15*Z30)</f>
        <v>0</v>
      </c>
      <c r="AC30" s="49">
        <f>((U30/$I$15)*T30+W30/$K$15*V30+Y30/$M$15*X30+AA30/$O$15*Z30)*$E30</f>
        <v>0</v>
      </c>
      <c r="AF30" s="52">
        <v>0.5</v>
      </c>
      <c r="AG30" s="84">
        <v>0</v>
      </c>
      <c r="AH30" s="52">
        <v>0.1</v>
      </c>
      <c r="AI30" s="84">
        <v>0</v>
      </c>
      <c r="AJ30" s="52">
        <v>0.3</v>
      </c>
      <c r="AK30" s="84">
        <v>0</v>
      </c>
      <c r="AL30" s="52">
        <f>1-AJ30-AH30-AF30</f>
        <v>9.9999999999999978E-2</v>
      </c>
      <c r="AM30" s="96">
        <v>0</v>
      </c>
      <c r="AN30" s="97">
        <f>((AG30/$I$15)*AF30+AI30/$K$15*AH30+AK30/$M$15*AJ30+AM30/$O$15*AL30)</f>
        <v>0</v>
      </c>
      <c r="AO30" s="49">
        <f>((AG30/$I$15)*AF30+AI30/$K$15*AH30+AK30/$M$15*AJ30+AM30/$O$15*AL30)*$E30</f>
        <v>0</v>
      </c>
    </row>
    <row r="31" spans="1:41" ht="31" thickBot="1">
      <c r="A31" s="49">
        <v>13</v>
      </c>
      <c r="B31" s="127" t="s">
        <v>173</v>
      </c>
      <c r="C31" s="134" t="s">
        <v>169</v>
      </c>
      <c r="D31" s="135" t="s">
        <v>170</v>
      </c>
      <c r="E31" s="49">
        <v>1</v>
      </c>
      <c r="H31" s="52">
        <v>0.5</v>
      </c>
      <c r="I31" s="84">
        <v>3</v>
      </c>
      <c r="J31" s="52">
        <v>0.1</v>
      </c>
      <c r="K31" s="84">
        <v>0</v>
      </c>
      <c r="L31" s="52">
        <v>0.3</v>
      </c>
      <c r="M31" s="84">
        <v>0</v>
      </c>
      <c r="N31" s="52">
        <f>1-L31-J31-H31</f>
        <v>9.9999999999999978E-2</v>
      </c>
      <c r="O31" s="96">
        <v>0</v>
      </c>
      <c r="P31" s="97">
        <f>((I31/$I$15)*H31+K31/$K$15*J31+M31/$M$15*L31+O31/$O$15*N31)</f>
        <v>0.5</v>
      </c>
      <c r="Q31" s="49">
        <f>((I31/$I$15)*H31+K31/$K$15*J31+M31/$M$15*L31+O31/$O$15*N31)*$E31</f>
        <v>0.5</v>
      </c>
      <c r="T31" s="52">
        <v>0.5</v>
      </c>
      <c r="U31" s="84">
        <v>0</v>
      </c>
      <c r="V31" s="52">
        <v>0.1</v>
      </c>
      <c r="W31" s="84">
        <v>0</v>
      </c>
      <c r="X31" s="52">
        <v>0.3</v>
      </c>
      <c r="Y31" s="84">
        <v>0</v>
      </c>
      <c r="Z31" s="52">
        <f>1-X31-V31-T31</f>
        <v>9.9999999999999978E-2</v>
      </c>
      <c r="AA31" s="96">
        <v>0</v>
      </c>
      <c r="AB31" s="97">
        <f>((U31/$I$15)*T31+W31/$K$15*V31+Y31/$M$15*X31+AA31/$O$15*Z31)</f>
        <v>0</v>
      </c>
      <c r="AC31" s="49">
        <f>((U31/$I$15)*T31+W31/$K$15*V31+Y31/$M$15*X31+AA31/$O$15*Z31)*$E31</f>
        <v>0</v>
      </c>
      <c r="AF31" s="52">
        <v>0.5</v>
      </c>
      <c r="AG31" s="84">
        <v>0</v>
      </c>
      <c r="AH31" s="52">
        <v>0.1</v>
      </c>
      <c r="AI31" s="84">
        <v>0</v>
      </c>
      <c r="AJ31" s="52">
        <v>0.3</v>
      </c>
      <c r="AK31" s="84">
        <v>0</v>
      </c>
      <c r="AL31" s="52">
        <f>1-AJ31-AH31-AF31</f>
        <v>9.9999999999999978E-2</v>
      </c>
      <c r="AM31" s="96">
        <v>0</v>
      </c>
      <c r="AN31" s="97">
        <f>((AG31/$I$15)*AF31+AI31/$K$15*AH31+AK31/$M$15*AJ31+AM31/$O$15*AL31)</f>
        <v>0</v>
      </c>
      <c r="AO31" s="49">
        <f>((AG31/$I$15)*AF31+AI31/$K$15*AH31+AK31/$M$15*AJ31+AM31/$O$15*AL31)*$E31</f>
        <v>0</v>
      </c>
    </row>
    <row r="32" spans="1:41" ht="25.5" customHeight="1">
      <c r="A32" s="166" t="s">
        <v>158</v>
      </c>
      <c r="B32" s="167"/>
      <c r="C32" s="168"/>
      <c r="D32" s="87" t="s">
        <v>10</v>
      </c>
      <c r="E32" s="50">
        <f>SUM(E27:E31)</f>
        <v>13</v>
      </c>
      <c r="H32" s="50" t="s">
        <v>49</v>
      </c>
      <c r="I32" s="50">
        <f>SUM(Q27:Q27)</f>
        <v>2.5999999999999996</v>
      </c>
      <c r="J32" s="88"/>
      <c r="K32" s="88"/>
      <c r="L32" s="88"/>
      <c r="M32" s="88"/>
      <c r="N32" s="88"/>
      <c r="O32" s="95"/>
      <c r="P32" s="89"/>
      <c r="Q32" s="64">
        <f>I32/$E32</f>
        <v>0.19999999999999998</v>
      </c>
      <c r="T32" s="50" t="s">
        <v>49</v>
      </c>
      <c r="U32" s="50">
        <f>SUM(AC27:AC27)</f>
        <v>2.2999999999999998</v>
      </c>
      <c r="V32" s="88"/>
      <c r="W32" s="88"/>
      <c r="X32" s="88"/>
      <c r="Y32" s="88"/>
      <c r="Z32" s="88"/>
      <c r="AA32" s="95"/>
      <c r="AB32" s="89"/>
      <c r="AC32" s="64">
        <f>U32/$E32</f>
        <v>0.17692307692307691</v>
      </c>
      <c r="AF32" s="50" t="s">
        <v>49</v>
      </c>
      <c r="AG32" s="50">
        <f>SUM(AO27:AO27)</f>
        <v>0</v>
      </c>
      <c r="AH32" s="88"/>
      <c r="AI32" s="88"/>
      <c r="AJ32" s="88"/>
      <c r="AK32" s="88"/>
      <c r="AL32" s="88"/>
      <c r="AM32" s="95"/>
      <c r="AN32" s="89"/>
      <c r="AO32" s="64">
        <f>AG32/$E32</f>
        <v>0</v>
      </c>
    </row>
    <row r="33" spans="1:41" ht="58.5" customHeight="1">
      <c r="A33" s="49">
        <v>14</v>
      </c>
      <c r="B33" s="126" t="s">
        <v>174</v>
      </c>
      <c r="C33" s="132" t="s">
        <v>175</v>
      </c>
      <c r="D33" s="133" t="s">
        <v>177</v>
      </c>
      <c r="E33" s="49">
        <v>3</v>
      </c>
      <c r="H33" s="52">
        <v>0.5</v>
      </c>
      <c r="I33" s="84">
        <v>0</v>
      </c>
      <c r="J33" s="52">
        <v>0.1</v>
      </c>
      <c r="K33" s="84">
        <v>0</v>
      </c>
      <c r="L33" s="52">
        <v>0.3</v>
      </c>
      <c r="M33" s="84">
        <v>0</v>
      </c>
      <c r="N33" s="52">
        <f>1-L33-J33-H33</f>
        <v>9.9999999999999978E-2</v>
      </c>
      <c r="O33" s="96">
        <v>0</v>
      </c>
      <c r="P33" s="97">
        <f>((I33/$I$15)*H33+K33/$K$15*J33+M33/$M$15*L33+O33/$O$15*N33)</f>
        <v>0</v>
      </c>
      <c r="Q33" s="49">
        <f>((I33/$I$15)*H33+K33/$K$15*J33+M33/$M$15*L33+O33/$O$15*N33)*$E33</f>
        <v>0</v>
      </c>
      <c r="T33" s="52">
        <v>0.5</v>
      </c>
      <c r="U33" s="84">
        <v>0</v>
      </c>
      <c r="V33" s="52">
        <v>0.1</v>
      </c>
      <c r="W33" s="84">
        <v>0</v>
      </c>
      <c r="X33" s="52">
        <v>0.3</v>
      </c>
      <c r="Y33" s="84">
        <v>0</v>
      </c>
      <c r="Z33" s="52">
        <f>1-X33-V33-T33</f>
        <v>9.9999999999999978E-2</v>
      </c>
      <c r="AA33" s="96">
        <v>0</v>
      </c>
      <c r="AB33" s="97">
        <f>((U33/$I$15)*T33+W33/$K$15*V33+Y33/$M$15*X33+AA33/$O$15*Z33)</f>
        <v>0</v>
      </c>
      <c r="AC33" s="49">
        <f>((U33/$I$15)*T33+W33/$K$15*V33+Y33/$M$15*X33+AA33/$O$15*Z33)*$E33</f>
        <v>0</v>
      </c>
      <c r="AF33" s="52">
        <v>0.5</v>
      </c>
      <c r="AG33" s="84">
        <v>0</v>
      </c>
      <c r="AH33" s="52">
        <v>0.1</v>
      </c>
      <c r="AI33" s="84">
        <v>0</v>
      </c>
      <c r="AJ33" s="52">
        <v>0.3</v>
      </c>
      <c r="AK33" s="84">
        <v>0</v>
      </c>
      <c r="AL33" s="52">
        <f>1-AJ33-AH33-AF33</f>
        <v>9.9999999999999978E-2</v>
      </c>
      <c r="AM33" s="96">
        <v>0</v>
      </c>
      <c r="AN33" s="97">
        <f>((AG33/$I$15)*AF33+AI33/$K$15*AH33+AK33/$M$15*AJ33+AM33/$O$15*AL33)</f>
        <v>0</v>
      </c>
      <c r="AO33" s="49">
        <f>((AG33/$I$15)*AF33+AI33/$K$15*AH33+AK33/$M$15*AJ33+AM33/$O$15*AL33)*$E33</f>
        <v>0</v>
      </c>
    </row>
    <row r="34" spans="1:41" ht="28">
      <c r="A34" s="166" t="s">
        <v>176</v>
      </c>
      <c r="B34" s="167"/>
      <c r="C34" s="168"/>
      <c r="D34" s="87" t="s">
        <v>10</v>
      </c>
      <c r="E34" s="50">
        <f>SUM(E30:E30)</f>
        <v>3</v>
      </c>
      <c r="H34" s="50" t="s">
        <v>49</v>
      </c>
      <c r="I34" s="50">
        <f>SUM(Q29:Q29)</f>
        <v>2.9999999999999996</v>
      </c>
      <c r="J34" s="88"/>
      <c r="K34" s="88"/>
      <c r="L34" s="88"/>
      <c r="M34" s="88"/>
      <c r="N34" s="88"/>
      <c r="O34" s="95"/>
      <c r="P34" s="89"/>
      <c r="Q34" s="64">
        <f>I34/$E34</f>
        <v>0.99999999999999989</v>
      </c>
      <c r="T34" s="50" t="s">
        <v>49</v>
      </c>
      <c r="U34" s="50">
        <f>SUM(AC29:AC29)</f>
        <v>0</v>
      </c>
      <c r="V34" s="88"/>
      <c r="W34" s="88"/>
      <c r="X34" s="88"/>
      <c r="Y34" s="88"/>
      <c r="Z34" s="88"/>
      <c r="AA34" s="95"/>
      <c r="AB34" s="89"/>
      <c r="AC34" s="64">
        <f>U34/$E34</f>
        <v>0</v>
      </c>
      <c r="AF34" s="50" t="s">
        <v>49</v>
      </c>
      <c r="AG34" s="50">
        <f>SUM(AO29:AO29)</f>
        <v>0</v>
      </c>
      <c r="AH34" s="88"/>
      <c r="AI34" s="88"/>
      <c r="AJ34" s="88"/>
      <c r="AK34" s="88"/>
      <c r="AL34" s="88"/>
      <c r="AM34" s="95"/>
      <c r="AN34" s="89"/>
      <c r="AO34" s="64">
        <f>AG34/$E34</f>
        <v>0</v>
      </c>
    </row>
  </sheetData>
  <mergeCells count="18">
    <mergeCell ref="AA1:AC3"/>
    <mergeCell ref="C8:E8"/>
    <mergeCell ref="A1:C3"/>
    <mergeCell ref="D1:Z1"/>
    <mergeCell ref="D2:Z2"/>
    <mergeCell ref="D3:Z3"/>
    <mergeCell ref="AF10:AO10"/>
    <mergeCell ref="A32:C32"/>
    <mergeCell ref="A26:C26"/>
    <mergeCell ref="A34:C34"/>
    <mergeCell ref="H10:Q10"/>
    <mergeCell ref="T10:AC10"/>
    <mergeCell ref="AN12:AN15"/>
    <mergeCell ref="AO13:AO15"/>
    <mergeCell ref="Q13:Q15"/>
    <mergeCell ref="P12:P15"/>
    <mergeCell ref="AB12:AB15"/>
    <mergeCell ref="AC13:AC15"/>
  </mergeCells>
  <phoneticPr fontId="0" type="noConversion"/>
  <dataValidations count="2">
    <dataValidation type="list" allowBlank="1" showInputMessage="1" showErrorMessage="1" sqref="O33 M33 O27:O31 AA33 Y33 M23:M25 I23:I25 O23:O25 E27:E31 I20:I21 E23:E25 I27:I31 AA27:AA31 Y23:Y25 U23:U25 AA23:AA25 U20:U21 U27:U31 M27:M31 E20:E21 Y27:Y31 O20:O21 M20:M21 O16:O18 AA20:AA21 Y20:Y21 AA16:AA18 Y16:Y18 E16:E18 U16:U18 U33 E33 M16:M18 I16:I18 I33 AM33 AK33 AM27:AM31 AK23:AK25 AG23:AG25 AM23:AM25 AG20:AG21 AG27:AG31 AK27:AK31 AM20:AM21 AK20:AK21 AM16:AM18 AK16:AK18 AG16:AG18 AG33" xr:uid="{00000000-0002-0000-0300-000000000000}">
      <formula1>"0,1,2,3"</formula1>
    </dataValidation>
    <dataValidation type="list" allowBlank="1" showInputMessage="1" showErrorMessage="1" sqref="K20:K21 K23:K25 W20:W21 K33 W23:W25 W33 K27:K31 W27:W31 K16:K18 W16:W18 AI20:AI21 AI23:AI25 AI33 AI27:AI31 AI16:AI18" xr:uid="{00000000-0002-0000-0300-000001000000}">
      <formula1>"0,1"</formula1>
    </dataValidation>
  </dataValidations>
  <pageMargins left="0.31496062992125984" right="0.31496062992125984" top="0.31496062992125984" bottom="0.31496062992125984" header="0.19685039370078741" footer="0.19685039370078741"/>
  <pageSetup paperSize="9" scale="44" fitToHeight="12" orientation="landscape" horizontalDpi="200" verticalDpi="200" r:id="rId1"/>
  <headerFooter alignWithMargins="0">
    <oddFooter>&amp;L&amp;8LAST UPDATED: 17 November 2011
FILE REFERENCE: POC Evaluation Sheet&amp;C&amp;8&amp;A&amp;R&amp;8Page &amp;P of &amp;N
Version 1.0</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43"/>
    <pageSetUpPr fitToPage="1"/>
  </sheetPr>
  <dimension ref="A1:AA35"/>
  <sheetViews>
    <sheetView showGridLines="0" topLeftCell="C7" zoomScale="80" zoomScaleNormal="80" workbookViewId="0">
      <selection activeCell="X15" sqref="X15"/>
    </sheetView>
  </sheetViews>
  <sheetFormatPr baseColWidth="10" defaultColWidth="9.1640625" defaultRowHeight="13"/>
  <cols>
    <col min="1" max="1" width="12" style="46" customWidth="1"/>
    <col min="2" max="2" width="26.1640625" style="46" customWidth="1"/>
    <col min="3" max="3" width="40.83203125" style="46" customWidth="1"/>
    <col min="4" max="4" width="14.1640625" style="46" customWidth="1"/>
    <col min="5" max="6" width="2.6640625" style="46" customWidth="1"/>
    <col min="7" max="7" width="9.33203125" style="46" customWidth="1"/>
    <col min="8" max="8" width="13" style="46" customWidth="1"/>
    <col min="9" max="9" width="12" style="46" customWidth="1"/>
    <col min="10" max="10" width="3.5" style="46" bestFit="1" customWidth="1"/>
    <col min="11" max="11" width="3.33203125" style="46" bestFit="1" customWidth="1"/>
    <col min="12" max="12" width="9.33203125" style="46" bestFit="1" customWidth="1"/>
    <col min="13" max="13" width="10.6640625" style="46" customWidth="1"/>
    <col min="14" max="14" width="12" style="46" customWidth="1"/>
    <col min="15" max="17" width="2.6640625" style="46" customWidth="1"/>
    <col min="18" max="16384" width="9.1640625" style="46"/>
  </cols>
  <sheetData>
    <row r="1" spans="1:27" ht="14">
      <c r="A1" s="186" t="str">
        <f>'Score Summary'!A1:B3</f>
        <v>Pengembangan Liveness</v>
      </c>
      <c r="B1" s="187"/>
      <c r="C1" s="188"/>
      <c r="D1" s="195" t="s">
        <v>123</v>
      </c>
      <c r="E1" s="196"/>
      <c r="F1" s="196"/>
      <c r="G1" s="196"/>
      <c r="H1" s="196"/>
      <c r="I1" s="196"/>
      <c r="J1" s="196"/>
      <c r="K1" s="196"/>
      <c r="L1" s="196"/>
      <c r="M1" s="197"/>
      <c r="N1" s="174"/>
      <c r="O1" s="176"/>
    </row>
    <row r="2" spans="1:27" ht="14">
      <c r="A2" s="189"/>
      <c r="B2" s="190"/>
      <c r="C2" s="191"/>
      <c r="D2" s="195" t="s">
        <v>110</v>
      </c>
      <c r="E2" s="196"/>
      <c r="F2" s="196"/>
      <c r="G2" s="196"/>
      <c r="H2" s="196"/>
      <c r="I2" s="196"/>
      <c r="J2" s="196"/>
      <c r="K2" s="196"/>
      <c r="L2" s="196"/>
      <c r="M2" s="197"/>
      <c r="N2" s="177"/>
      <c r="O2" s="179"/>
    </row>
    <row r="3" spans="1:27" ht="14">
      <c r="A3" s="192"/>
      <c r="B3" s="193"/>
      <c r="C3" s="194"/>
      <c r="D3" s="195" t="s">
        <v>129</v>
      </c>
      <c r="E3" s="196"/>
      <c r="F3" s="196"/>
      <c r="G3" s="196"/>
      <c r="H3" s="196"/>
      <c r="I3" s="196"/>
      <c r="J3" s="196"/>
      <c r="K3" s="196"/>
      <c r="L3" s="196"/>
      <c r="M3" s="197"/>
      <c r="N3" s="180"/>
      <c r="O3" s="182"/>
    </row>
    <row r="4" spans="1:27" s="42" customFormat="1" ht="18">
      <c r="A4" s="45" t="s">
        <v>11</v>
      </c>
    </row>
    <row r="5" spans="1:27" s="42" customFormat="1" ht="18">
      <c r="A5" s="45"/>
    </row>
    <row r="6" spans="1:27" s="4" customFormat="1" ht="18">
      <c r="A6" s="61"/>
      <c r="B6" s="61"/>
      <c r="O6" s="93"/>
      <c r="AA6" s="93"/>
    </row>
    <row r="7" spans="1:27" s="4" customFormat="1" ht="42">
      <c r="A7" s="105" t="s">
        <v>19</v>
      </c>
      <c r="B7" s="106"/>
      <c r="C7" s="121" t="s">
        <v>132</v>
      </c>
      <c r="D7" s="110"/>
      <c r="E7" s="111"/>
      <c r="O7" s="93"/>
      <c r="AA7" s="93"/>
    </row>
    <row r="8" spans="1:27" s="4" customFormat="1" ht="28">
      <c r="A8" s="105" t="s">
        <v>17</v>
      </c>
      <c r="B8" s="106"/>
      <c r="C8" s="109" t="s">
        <v>133</v>
      </c>
      <c r="D8" s="110"/>
      <c r="E8" s="111"/>
      <c r="O8" s="93"/>
      <c r="AA8" s="93"/>
    </row>
    <row r="9" spans="1:27" s="4" customFormat="1" ht="35.25" customHeight="1">
      <c r="A9" s="105" t="s">
        <v>18</v>
      </c>
      <c r="B9" s="106"/>
      <c r="C9" s="198" t="s">
        <v>136</v>
      </c>
      <c r="D9" s="199"/>
      <c r="E9" s="111"/>
      <c r="O9" s="93"/>
      <c r="AA9" s="93"/>
    </row>
    <row r="10" spans="1:27" s="65" customFormat="1">
      <c r="A10" s="65">
        <v>1</v>
      </c>
      <c r="B10" s="65">
        <v>2</v>
      </c>
      <c r="C10" s="65">
        <v>3</v>
      </c>
      <c r="D10" s="65">
        <v>4</v>
      </c>
      <c r="E10" s="65">
        <v>5</v>
      </c>
      <c r="F10" s="65">
        <v>6</v>
      </c>
      <c r="G10" s="65">
        <v>7</v>
      </c>
      <c r="H10" s="65">
        <v>8</v>
      </c>
      <c r="I10" s="65">
        <v>9</v>
      </c>
      <c r="J10" s="65">
        <v>10</v>
      </c>
      <c r="K10" s="65">
        <v>11</v>
      </c>
      <c r="L10" s="65">
        <v>12</v>
      </c>
      <c r="M10" s="65">
        <v>13</v>
      </c>
      <c r="N10" s="65">
        <v>14</v>
      </c>
    </row>
    <row r="11" spans="1:27" ht="15" customHeight="1">
      <c r="A11" s="202" t="s">
        <v>41</v>
      </c>
      <c r="B11" s="202" t="s">
        <v>50</v>
      </c>
      <c r="C11" s="202" t="s">
        <v>44</v>
      </c>
      <c r="D11" s="202" t="s">
        <v>45</v>
      </c>
      <c r="G11" s="202" t="s">
        <v>13</v>
      </c>
      <c r="H11" s="202"/>
      <c r="I11" s="202"/>
      <c r="L11" s="202" t="s">
        <v>14</v>
      </c>
      <c r="M11" s="202"/>
      <c r="N11" s="202"/>
      <c r="R11" s="202" t="s">
        <v>124</v>
      </c>
      <c r="S11" s="202"/>
      <c r="T11" s="202"/>
    </row>
    <row r="12" spans="1:27" ht="15" customHeight="1">
      <c r="A12" s="202"/>
      <c r="B12" s="202"/>
      <c r="C12" s="202"/>
      <c r="D12" s="202"/>
      <c r="G12" s="202" t="s">
        <v>51</v>
      </c>
      <c r="H12" s="202"/>
      <c r="I12" s="202" t="s">
        <v>20</v>
      </c>
      <c r="L12" s="202" t="s">
        <v>51</v>
      </c>
      <c r="M12" s="202"/>
      <c r="N12" s="202" t="s">
        <v>20</v>
      </c>
      <c r="R12" s="202" t="s">
        <v>51</v>
      </c>
      <c r="S12" s="202"/>
      <c r="T12" s="202" t="s">
        <v>20</v>
      </c>
    </row>
    <row r="13" spans="1:27" ht="15">
      <c r="A13" s="202"/>
      <c r="B13" s="202"/>
      <c r="C13" s="202"/>
      <c r="D13" s="202"/>
      <c r="G13" s="39" t="s">
        <v>7</v>
      </c>
      <c r="H13" s="39" t="s">
        <v>8</v>
      </c>
      <c r="I13" s="202"/>
      <c r="L13" s="39" t="s">
        <v>7</v>
      </c>
      <c r="M13" s="39" t="s">
        <v>8</v>
      </c>
      <c r="N13" s="202"/>
      <c r="R13" s="122" t="s">
        <v>7</v>
      </c>
      <c r="S13" s="122" t="s">
        <v>8</v>
      </c>
      <c r="T13" s="202"/>
    </row>
    <row r="14" spans="1:27" ht="14">
      <c r="A14" s="202"/>
      <c r="B14" s="202"/>
      <c r="C14" s="202"/>
      <c r="D14" s="202"/>
      <c r="G14" s="39">
        <v>0</v>
      </c>
      <c r="H14" s="39">
        <v>5</v>
      </c>
      <c r="I14" s="202"/>
      <c r="L14" s="39">
        <v>0</v>
      </c>
      <c r="M14" s="39">
        <v>5</v>
      </c>
      <c r="N14" s="202"/>
      <c r="R14" s="122">
        <v>0</v>
      </c>
      <c r="S14" s="122">
        <v>5</v>
      </c>
      <c r="T14" s="202"/>
    </row>
    <row r="15" spans="1:27" s="48" customFormat="1" ht="56">
      <c r="A15" s="60">
        <v>1</v>
      </c>
      <c r="B15" s="115" t="s">
        <v>52</v>
      </c>
      <c r="C15" s="114" t="s">
        <v>53</v>
      </c>
      <c r="D15" s="60">
        <v>2</v>
      </c>
      <c r="E15" s="46"/>
      <c r="F15" s="46"/>
      <c r="G15" s="200"/>
      <c r="H15" s="201"/>
      <c r="I15" s="60">
        <f>(G15/$H$14)*$D15</f>
        <v>0</v>
      </c>
      <c r="J15" s="46"/>
      <c r="K15" s="46"/>
      <c r="L15" s="200"/>
      <c r="M15" s="201"/>
      <c r="N15" s="60">
        <f>(L15/$H$14)*$D15</f>
        <v>0</v>
      </c>
      <c r="O15" s="46"/>
      <c r="P15" s="46"/>
      <c r="Q15" s="46"/>
      <c r="R15" s="200"/>
      <c r="S15" s="201"/>
      <c r="T15" s="60">
        <f>(R15/$H$14)*$D15</f>
        <v>0</v>
      </c>
    </row>
    <row r="16" spans="1:27" s="48" customFormat="1" ht="28">
      <c r="A16" s="60">
        <f t="shared" ref="A16:A35" si="0">A15+1</f>
        <v>2</v>
      </c>
      <c r="B16" s="115" t="s">
        <v>52</v>
      </c>
      <c r="C16" s="114" t="s">
        <v>54</v>
      </c>
      <c r="D16" s="60">
        <v>2</v>
      </c>
      <c r="E16" s="46"/>
      <c r="F16" s="46"/>
      <c r="G16" s="200"/>
      <c r="H16" s="201"/>
      <c r="I16" s="60">
        <f>(G16/$H$14)*$D16</f>
        <v>0</v>
      </c>
      <c r="J16" s="46"/>
      <c r="K16" s="46"/>
      <c r="L16" s="200"/>
      <c r="M16" s="201"/>
      <c r="N16" s="60">
        <f t="shared" ref="N16:N35" si="1">(L16/$H$14)*$D16</f>
        <v>0</v>
      </c>
      <c r="O16" s="46"/>
      <c r="P16" s="46"/>
      <c r="Q16" s="46"/>
      <c r="R16" s="200"/>
      <c r="S16" s="201"/>
      <c r="T16" s="60">
        <f t="shared" ref="T16:T35" si="2">(R16/$H$14)*$D16</f>
        <v>0</v>
      </c>
    </row>
    <row r="17" spans="1:20" s="48" customFormat="1" ht="28">
      <c r="A17" s="60">
        <f t="shared" si="0"/>
        <v>3</v>
      </c>
      <c r="B17" s="115" t="s">
        <v>52</v>
      </c>
      <c r="C17" s="114" t="s">
        <v>55</v>
      </c>
      <c r="D17" s="60">
        <v>2</v>
      </c>
      <c r="E17" s="46"/>
      <c r="F17" s="46"/>
      <c r="G17" s="200"/>
      <c r="H17" s="201"/>
      <c r="I17" s="60">
        <f t="shared" ref="I17:I35" si="3">(G17/$H$14)*$D17</f>
        <v>0</v>
      </c>
      <c r="J17" s="46"/>
      <c r="K17" s="46"/>
      <c r="L17" s="200"/>
      <c r="M17" s="201"/>
      <c r="N17" s="60">
        <f t="shared" si="1"/>
        <v>0</v>
      </c>
      <c r="O17" s="46"/>
      <c r="P17" s="46"/>
      <c r="Q17" s="46"/>
      <c r="R17" s="200"/>
      <c r="S17" s="201"/>
      <c r="T17" s="60">
        <f t="shared" si="2"/>
        <v>0</v>
      </c>
    </row>
    <row r="18" spans="1:20" s="48" customFormat="1" ht="42">
      <c r="A18" s="60">
        <f t="shared" si="0"/>
        <v>4</v>
      </c>
      <c r="B18" s="115" t="s">
        <v>34</v>
      </c>
      <c r="C18" s="114" t="s">
        <v>56</v>
      </c>
      <c r="D18" s="60">
        <v>2</v>
      </c>
      <c r="E18" s="46"/>
      <c r="F18" s="46"/>
      <c r="G18" s="200"/>
      <c r="H18" s="201"/>
      <c r="I18" s="60">
        <f t="shared" si="3"/>
        <v>0</v>
      </c>
      <c r="J18" s="46"/>
      <c r="K18" s="46"/>
      <c r="L18" s="200"/>
      <c r="M18" s="201"/>
      <c r="N18" s="60">
        <f t="shared" si="1"/>
        <v>0</v>
      </c>
      <c r="O18" s="46"/>
      <c r="P18" s="46"/>
      <c r="Q18" s="46"/>
      <c r="R18" s="200"/>
      <c r="S18" s="201"/>
      <c r="T18" s="60">
        <f t="shared" si="2"/>
        <v>0</v>
      </c>
    </row>
    <row r="19" spans="1:20" s="48" customFormat="1" ht="42">
      <c r="A19" s="60">
        <f t="shared" si="0"/>
        <v>5</v>
      </c>
      <c r="B19" s="115" t="s">
        <v>34</v>
      </c>
      <c r="C19" s="114" t="s">
        <v>57</v>
      </c>
      <c r="D19" s="60">
        <v>2</v>
      </c>
      <c r="E19" s="46"/>
      <c r="F19" s="46"/>
      <c r="G19" s="200"/>
      <c r="H19" s="201"/>
      <c r="I19" s="60">
        <f t="shared" si="3"/>
        <v>0</v>
      </c>
      <c r="J19" s="46"/>
      <c r="K19" s="46"/>
      <c r="L19" s="200"/>
      <c r="M19" s="201"/>
      <c r="N19" s="60">
        <f t="shared" si="1"/>
        <v>0</v>
      </c>
      <c r="O19" s="46"/>
      <c r="P19" s="46"/>
      <c r="Q19" s="46"/>
      <c r="R19" s="200"/>
      <c r="S19" s="201"/>
      <c r="T19" s="60">
        <f t="shared" si="2"/>
        <v>0</v>
      </c>
    </row>
    <row r="20" spans="1:20" s="48" customFormat="1" ht="28">
      <c r="A20" s="60">
        <f t="shared" si="0"/>
        <v>6</v>
      </c>
      <c r="B20" s="115" t="s">
        <v>34</v>
      </c>
      <c r="C20" s="114" t="s">
        <v>58</v>
      </c>
      <c r="D20" s="60">
        <v>2</v>
      </c>
      <c r="E20" s="46"/>
      <c r="F20" s="46"/>
      <c r="G20" s="200"/>
      <c r="H20" s="201"/>
      <c r="I20" s="60">
        <f t="shared" si="3"/>
        <v>0</v>
      </c>
      <c r="J20" s="46"/>
      <c r="K20" s="46"/>
      <c r="L20" s="200"/>
      <c r="M20" s="201"/>
      <c r="N20" s="60">
        <f t="shared" si="1"/>
        <v>0</v>
      </c>
      <c r="O20" s="46"/>
      <c r="P20" s="46"/>
      <c r="Q20" s="46"/>
      <c r="R20" s="200"/>
      <c r="S20" s="201"/>
      <c r="T20" s="60">
        <f t="shared" si="2"/>
        <v>0</v>
      </c>
    </row>
    <row r="21" spans="1:20" s="48" customFormat="1" ht="14">
      <c r="A21" s="60">
        <f t="shared" si="0"/>
        <v>7</v>
      </c>
      <c r="B21" s="115" t="s">
        <v>34</v>
      </c>
      <c r="C21" s="114" t="s">
        <v>59</v>
      </c>
      <c r="D21" s="60">
        <v>2</v>
      </c>
      <c r="E21" s="46"/>
      <c r="F21" s="46"/>
      <c r="G21" s="200"/>
      <c r="H21" s="201"/>
      <c r="I21" s="60">
        <f t="shared" si="3"/>
        <v>0</v>
      </c>
      <c r="J21" s="46"/>
      <c r="K21" s="46"/>
      <c r="L21" s="200"/>
      <c r="M21" s="201"/>
      <c r="N21" s="60">
        <f t="shared" si="1"/>
        <v>0</v>
      </c>
      <c r="O21" s="46"/>
      <c r="P21" s="46"/>
      <c r="Q21" s="46"/>
      <c r="R21" s="200"/>
      <c r="S21" s="201"/>
      <c r="T21" s="60">
        <f t="shared" si="2"/>
        <v>0</v>
      </c>
    </row>
    <row r="22" spans="1:20" s="48" customFormat="1" ht="14">
      <c r="A22" s="60">
        <f t="shared" si="0"/>
        <v>8</v>
      </c>
      <c r="B22" s="115" t="s">
        <v>34</v>
      </c>
      <c r="C22" s="114" t="s">
        <v>60</v>
      </c>
      <c r="D22" s="60">
        <v>2</v>
      </c>
      <c r="E22" s="46"/>
      <c r="F22" s="46"/>
      <c r="G22" s="200"/>
      <c r="H22" s="201"/>
      <c r="I22" s="60">
        <f t="shared" si="3"/>
        <v>0</v>
      </c>
      <c r="J22" s="46"/>
      <c r="K22" s="46"/>
      <c r="L22" s="200"/>
      <c r="M22" s="201"/>
      <c r="N22" s="60">
        <f t="shared" si="1"/>
        <v>0</v>
      </c>
      <c r="O22" s="46"/>
      <c r="P22" s="46"/>
      <c r="Q22" s="46"/>
      <c r="R22" s="200"/>
      <c r="S22" s="201"/>
      <c r="T22" s="60">
        <f t="shared" si="2"/>
        <v>0</v>
      </c>
    </row>
    <row r="23" spans="1:20" s="48" customFormat="1" ht="28">
      <c r="A23" s="60">
        <f t="shared" si="0"/>
        <v>9</v>
      </c>
      <c r="B23" s="115" t="s">
        <v>34</v>
      </c>
      <c r="C23" s="114" t="s">
        <v>61</v>
      </c>
      <c r="D23" s="60">
        <v>2</v>
      </c>
      <c r="E23" s="46"/>
      <c r="F23" s="46"/>
      <c r="G23" s="200"/>
      <c r="H23" s="201"/>
      <c r="I23" s="60">
        <f t="shared" si="3"/>
        <v>0</v>
      </c>
      <c r="J23" s="46"/>
      <c r="K23" s="46"/>
      <c r="L23" s="200"/>
      <c r="M23" s="201"/>
      <c r="N23" s="60">
        <f t="shared" si="1"/>
        <v>0</v>
      </c>
      <c r="O23" s="46"/>
      <c r="P23" s="46"/>
      <c r="Q23" s="46"/>
      <c r="R23" s="200"/>
      <c r="S23" s="201"/>
      <c r="T23" s="60">
        <f t="shared" si="2"/>
        <v>0</v>
      </c>
    </row>
    <row r="24" spans="1:20" s="48" customFormat="1" ht="28">
      <c r="A24" s="60">
        <f t="shared" si="0"/>
        <v>10</v>
      </c>
      <c r="B24" s="115" t="s">
        <v>34</v>
      </c>
      <c r="C24" s="114" t="s">
        <v>62</v>
      </c>
      <c r="D24" s="60">
        <v>2</v>
      </c>
      <c r="E24" s="46"/>
      <c r="F24" s="46"/>
      <c r="G24" s="200"/>
      <c r="H24" s="201"/>
      <c r="I24" s="60">
        <f t="shared" si="3"/>
        <v>0</v>
      </c>
      <c r="J24" s="46"/>
      <c r="K24" s="46"/>
      <c r="L24" s="200"/>
      <c r="M24" s="201"/>
      <c r="N24" s="60">
        <f t="shared" si="1"/>
        <v>0</v>
      </c>
      <c r="O24" s="46"/>
      <c r="P24" s="46"/>
      <c r="Q24" s="46"/>
      <c r="R24" s="200"/>
      <c r="S24" s="201"/>
      <c r="T24" s="60">
        <f t="shared" si="2"/>
        <v>0</v>
      </c>
    </row>
    <row r="25" spans="1:20" s="48" customFormat="1" ht="28">
      <c r="A25" s="60">
        <f t="shared" si="0"/>
        <v>11</v>
      </c>
      <c r="B25" s="115" t="s">
        <v>35</v>
      </c>
      <c r="C25" s="114" t="s">
        <v>63</v>
      </c>
      <c r="D25" s="60">
        <v>2</v>
      </c>
      <c r="E25" s="46"/>
      <c r="F25" s="46"/>
      <c r="G25" s="200"/>
      <c r="H25" s="201"/>
      <c r="I25" s="60">
        <f t="shared" si="3"/>
        <v>0</v>
      </c>
      <c r="J25" s="46"/>
      <c r="K25" s="46"/>
      <c r="L25" s="200"/>
      <c r="M25" s="201"/>
      <c r="N25" s="60">
        <f t="shared" si="1"/>
        <v>0</v>
      </c>
      <c r="O25" s="46"/>
      <c r="P25" s="46"/>
      <c r="Q25" s="46"/>
      <c r="R25" s="200"/>
      <c r="S25" s="201"/>
      <c r="T25" s="60">
        <f t="shared" si="2"/>
        <v>0</v>
      </c>
    </row>
    <row r="26" spans="1:20" s="48" customFormat="1" ht="56">
      <c r="A26" s="60">
        <f t="shared" si="0"/>
        <v>12</v>
      </c>
      <c r="B26" s="115" t="s">
        <v>35</v>
      </c>
      <c r="C26" s="114" t="s">
        <v>64</v>
      </c>
      <c r="D26" s="60">
        <v>2</v>
      </c>
      <c r="E26" s="46"/>
      <c r="F26" s="46"/>
      <c r="G26" s="200"/>
      <c r="H26" s="201"/>
      <c r="I26" s="60">
        <f t="shared" si="3"/>
        <v>0</v>
      </c>
      <c r="J26" s="46"/>
      <c r="K26" s="46"/>
      <c r="L26" s="200"/>
      <c r="M26" s="201"/>
      <c r="N26" s="60">
        <f t="shared" si="1"/>
        <v>0</v>
      </c>
      <c r="O26" s="46"/>
      <c r="P26" s="46"/>
      <c r="Q26" s="46"/>
      <c r="R26" s="200"/>
      <c r="S26" s="201"/>
      <c r="T26" s="60">
        <f t="shared" si="2"/>
        <v>0</v>
      </c>
    </row>
    <row r="27" spans="1:20" s="48" customFormat="1" ht="14">
      <c r="A27" s="60">
        <f t="shared" si="0"/>
        <v>13</v>
      </c>
      <c r="B27" s="115" t="s">
        <v>36</v>
      </c>
      <c r="C27" s="114" t="s">
        <v>118</v>
      </c>
      <c r="D27" s="60">
        <v>2</v>
      </c>
      <c r="E27" s="46"/>
      <c r="F27" s="46"/>
      <c r="G27" s="200"/>
      <c r="H27" s="201"/>
      <c r="I27" s="60">
        <f t="shared" si="3"/>
        <v>0</v>
      </c>
      <c r="J27" s="46"/>
      <c r="K27" s="46"/>
      <c r="L27" s="200"/>
      <c r="M27" s="201"/>
      <c r="N27" s="60">
        <f t="shared" si="1"/>
        <v>0</v>
      </c>
      <c r="O27" s="46"/>
      <c r="P27" s="46"/>
      <c r="Q27" s="46"/>
      <c r="R27" s="200"/>
      <c r="S27" s="201"/>
      <c r="T27" s="60">
        <f t="shared" si="2"/>
        <v>0</v>
      </c>
    </row>
    <row r="28" spans="1:20" s="48" customFormat="1" ht="14">
      <c r="A28" s="60">
        <f t="shared" si="0"/>
        <v>14</v>
      </c>
      <c r="B28" s="115" t="s">
        <v>36</v>
      </c>
      <c r="C28" s="114" t="s">
        <v>119</v>
      </c>
      <c r="D28" s="60">
        <v>2</v>
      </c>
      <c r="E28" s="46"/>
      <c r="F28" s="46"/>
      <c r="G28" s="200"/>
      <c r="H28" s="201"/>
      <c r="I28" s="60">
        <f t="shared" si="3"/>
        <v>0</v>
      </c>
      <c r="J28" s="46"/>
      <c r="K28" s="46"/>
      <c r="L28" s="200"/>
      <c r="M28" s="201"/>
      <c r="N28" s="60">
        <f t="shared" si="1"/>
        <v>0</v>
      </c>
      <c r="O28" s="46"/>
      <c r="P28" s="46"/>
      <c r="Q28" s="46"/>
      <c r="R28" s="200"/>
      <c r="S28" s="201"/>
      <c r="T28" s="60">
        <f t="shared" si="2"/>
        <v>0</v>
      </c>
    </row>
    <row r="29" spans="1:20" s="48" customFormat="1" ht="14">
      <c r="A29" s="60">
        <f t="shared" si="0"/>
        <v>15</v>
      </c>
      <c r="B29" s="115" t="s">
        <v>36</v>
      </c>
      <c r="C29" s="114" t="s">
        <v>120</v>
      </c>
      <c r="D29" s="60">
        <v>2</v>
      </c>
      <c r="E29" s="46"/>
      <c r="F29" s="46"/>
      <c r="G29" s="200"/>
      <c r="H29" s="201"/>
      <c r="I29" s="60">
        <f t="shared" si="3"/>
        <v>0</v>
      </c>
      <c r="J29" s="46"/>
      <c r="K29" s="46"/>
      <c r="L29" s="200"/>
      <c r="M29" s="201"/>
      <c r="N29" s="60">
        <f t="shared" si="1"/>
        <v>0</v>
      </c>
      <c r="O29" s="46"/>
      <c r="P29" s="46"/>
      <c r="Q29" s="46"/>
      <c r="R29" s="200"/>
      <c r="S29" s="201"/>
      <c r="T29" s="60">
        <f t="shared" si="2"/>
        <v>0</v>
      </c>
    </row>
    <row r="30" spans="1:20" s="48" customFormat="1" ht="14">
      <c r="A30" s="60">
        <f t="shared" si="0"/>
        <v>16</v>
      </c>
      <c r="B30" s="115" t="s">
        <v>37</v>
      </c>
      <c r="C30" s="114" t="s">
        <v>65</v>
      </c>
      <c r="D30" s="60">
        <v>2</v>
      </c>
      <c r="E30" s="46"/>
      <c r="F30" s="46"/>
      <c r="G30" s="200"/>
      <c r="H30" s="201"/>
      <c r="I30" s="60">
        <f t="shared" si="3"/>
        <v>0</v>
      </c>
      <c r="J30" s="46"/>
      <c r="K30" s="46"/>
      <c r="L30" s="200"/>
      <c r="M30" s="201"/>
      <c r="N30" s="60">
        <f t="shared" si="1"/>
        <v>0</v>
      </c>
      <c r="O30" s="46"/>
      <c r="P30" s="46"/>
      <c r="Q30" s="46"/>
      <c r="R30" s="200"/>
      <c r="S30" s="201"/>
      <c r="T30" s="60">
        <f t="shared" si="2"/>
        <v>0</v>
      </c>
    </row>
    <row r="31" spans="1:20" s="48" customFormat="1" ht="14">
      <c r="A31" s="60">
        <f t="shared" si="0"/>
        <v>17</v>
      </c>
      <c r="B31" s="115" t="s">
        <v>37</v>
      </c>
      <c r="C31" s="114" t="s">
        <v>66</v>
      </c>
      <c r="D31" s="60">
        <v>2</v>
      </c>
      <c r="E31" s="46"/>
      <c r="F31" s="46"/>
      <c r="G31" s="200"/>
      <c r="H31" s="201"/>
      <c r="I31" s="60">
        <f t="shared" si="3"/>
        <v>0</v>
      </c>
      <c r="J31" s="46"/>
      <c r="K31" s="46"/>
      <c r="L31" s="200"/>
      <c r="M31" s="201"/>
      <c r="N31" s="60">
        <f t="shared" si="1"/>
        <v>0</v>
      </c>
      <c r="O31" s="46"/>
      <c r="P31" s="46"/>
      <c r="Q31" s="46"/>
      <c r="R31" s="200"/>
      <c r="S31" s="201"/>
      <c r="T31" s="60">
        <f t="shared" si="2"/>
        <v>0</v>
      </c>
    </row>
    <row r="32" spans="1:20" s="48" customFormat="1" ht="14">
      <c r="A32" s="60">
        <f t="shared" si="0"/>
        <v>18</v>
      </c>
      <c r="B32" s="115" t="s">
        <v>37</v>
      </c>
      <c r="C32" s="114" t="s">
        <v>67</v>
      </c>
      <c r="D32" s="60">
        <v>2</v>
      </c>
      <c r="E32" s="46"/>
      <c r="F32" s="46"/>
      <c r="G32" s="200"/>
      <c r="H32" s="201"/>
      <c r="I32" s="60">
        <f t="shared" si="3"/>
        <v>0</v>
      </c>
      <c r="J32" s="46"/>
      <c r="K32" s="46"/>
      <c r="L32" s="200"/>
      <c r="M32" s="201"/>
      <c r="N32" s="60">
        <f t="shared" si="1"/>
        <v>0</v>
      </c>
      <c r="O32" s="46"/>
      <c r="P32" s="46"/>
      <c r="Q32" s="46"/>
      <c r="R32" s="200"/>
      <c r="S32" s="201"/>
      <c r="T32" s="60">
        <f t="shared" si="2"/>
        <v>0</v>
      </c>
    </row>
    <row r="33" spans="1:20" s="48" customFormat="1" ht="14">
      <c r="A33" s="60">
        <f t="shared" si="0"/>
        <v>19</v>
      </c>
      <c r="B33" s="115" t="s">
        <v>37</v>
      </c>
      <c r="C33" s="114" t="s">
        <v>68</v>
      </c>
      <c r="D33" s="60">
        <v>2</v>
      </c>
      <c r="E33" s="46"/>
      <c r="F33" s="46"/>
      <c r="G33" s="200"/>
      <c r="H33" s="201"/>
      <c r="I33" s="60">
        <f t="shared" si="3"/>
        <v>0</v>
      </c>
      <c r="J33" s="46"/>
      <c r="K33" s="46"/>
      <c r="L33" s="200"/>
      <c r="M33" s="201"/>
      <c r="N33" s="60">
        <f t="shared" si="1"/>
        <v>0</v>
      </c>
      <c r="O33" s="46"/>
      <c r="P33" s="46"/>
      <c r="Q33" s="46"/>
      <c r="R33" s="200"/>
      <c r="S33" s="201"/>
      <c r="T33" s="60">
        <f t="shared" si="2"/>
        <v>0</v>
      </c>
    </row>
    <row r="34" spans="1:20" s="48" customFormat="1" ht="14">
      <c r="A34" s="60">
        <f t="shared" si="0"/>
        <v>20</v>
      </c>
      <c r="B34" s="115" t="s">
        <v>37</v>
      </c>
      <c r="C34" s="114" t="s">
        <v>69</v>
      </c>
      <c r="D34" s="60">
        <v>2</v>
      </c>
      <c r="E34" s="46"/>
      <c r="F34" s="46"/>
      <c r="G34" s="200"/>
      <c r="H34" s="201"/>
      <c r="I34" s="60">
        <f t="shared" si="3"/>
        <v>0</v>
      </c>
      <c r="J34" s="46"/>
      <c r="K34" s="46"/>
      <c r="L34" s="200"/>
      <c r="M34" s="201"/>
      <c r="N34" s="60">
        <f t="shared" si="1"/>
        <v>0</v>
      </c>
      <c r="O34" s="46"/>
      <c r="P34" s="46"/>
      <c r="Q34" s="46"/>
      <c r="R34" s="200"/>
      <c r="S34" s="201"/>
      <c r="T34" s="60">
        <f t="shared" si="2"/>
        <v>0</v>
      </c>
    </row>
    <row r="35" spans="1:20" s="48" customFormat="1" ht="14">
      <c r="A35" s="60">
        <f t="shared" si="0"/>
        <v>21</v>
      </c>
      <c r="B35" s="115" t="s">
        <v>37</v>
      </c>
      <c r="C35" s="114" t="s">
        <v>70</v>
      </c>
      <c r="D35" s="60">
        <v>2</v>
      </c>
      <c r="E35" s="46"/>
      <c r="F35" s="46"/>
      <c r="G35" s="200"/>
      <c r="H35" s="201"/>
      <c r="I35" s="60">
        <f t="shared" si="3"/>
        <v>0</v>
      </c>
      <c r="J35" s="46"/>
      <c r="K35" s="46"/>
      <c r="L35" s="200"/>
      <c r="M35" s="201"/>
      <c r="N35" s="60">
        <f t="shared" si="1"/>
        <v>0</v>
      </c>
      <c r="O35" s="46"/>
      <c r="P35" s="46"/>
      <c r="Q35" s="46"/>
      <c r="R35" s="200"/>
      <c r="S35" s="201"/>
      <c r="T35" s="60">
        <f t="shared" si="2"/>
        <v>0</v>
      </c>
    </row>
  </sheetData>
  <mergeCells count="82">
    <mergeCell ref="L33:M33"/>
    <mergeCell ref="G28:H28"/>
    <mergeCell ref="G29:H29"/>
    <mergeCell ref="L34:M34"/>
    <mergeCell ref="N12:N14"/>
    <mergeCell ref="G23:H23"/>
    <mergeCell ref="L27:M27"/>
    <mergeCell ref="L28:M28"/>
    <mergeCell ref="L29:M29"/>
    <mergeCell ref="G27:H27"/>
    <mergeCell ref="G15:H15"/>
    <mergeCell ref="L15:M15"/>
    <mergeCell ref="L23:M23"/>
    <mergeCell ref="L20:M20"/>
    <mergeCell ref="L18:M18"/>
    <mergeCell ref="L19:M19"/>
    <mergeCell ref="A1:C3"/>
    <mergeCell ref="D1:M1"/>
    <mergeCell ref="D3:M3"/>
    <mergeCell ref="G16:H16"/>
    <mergeCell ref="L16:M16"/>
    <mergeCell ref="L11:N11"/>
    <mergeCell ref="L12:M12"/>
    <mergeCell ref="G12:H12"/>
    <mergeCell ref="A11:A14"/>
    <mergeCell ref="B11:B14"/>
    <mergeCell ref="C11:C14"/>
    <mergeCell ref="D11:D14"/>
    <mergeCell ref="G11:I11"/>
    <mergeCell ref="I12:I14"/>
    <mergeCell ref="N1:O3"/>
    <mergeCell ref="D2:M2"/>
    <mergeCell ref="G20:H20"/>
    <mergeCell ref="G22:H22"/>
    <mergeCell ref="L22:M22"/>
    <mergeCell ref="G17:H17"/>
    <mergeCell ref="L17:M17"/>
    <mergeCell ref="G19:H19"/>
    <mergeCell ref="G18:H18"/>
    <mergeCell ref="G21:H21"/>
    <mergeCell ref="L21:M21"/>
    <mergeCell ref="L35:M35"/>
    <mergeCell ref="G24:H24"/>
    <mergeCell ref="L24:M24"/>
    <mergeCell ref="L25:M25"/>
    <mergeCell ref="G26:H26"/>
    <mergeCell ref="L26:M26"/>
    <mergeCell ref="G25:H25"/>
    <mergeCell ref="L30:M30"/>
    <mergeCell ref="L31:M31"/>
    <mergeCell ref="L32:M32"/>
    <mergeCell ref="G35:H35"/>
    <mergeCell ref="G32:H32"/>
    <mergeCell ref="G33:H33"/>
    <mergeCell ref="G34:H34"/>
    <mergeCell ref="G30:H30"/>
    <mergeCell ref="G31:H31"/>
    <mergeCell ref="R18:S18"/>
    <mergeCell ref="R19:S19"/>
    <mergeCell ref="R20:S20"/>
    <mergeCell ref="R21:S21"/>
    <mergeCell ref="R11:T11"/>
    <mergeCell ref="R12:S12"/>
    <mergeCell ref="T12:T14"/>
    <mergeCell ref="R15:S15"/>
    <mergeCell ref="R16:S16"/>
    <mergeCell ref="C9:D9"/>
    <mergeCell ref="R32:S32"/>
    <mergeCell ref="R33:S33"/>
    <mergeCell ref="R34:S34"/>
    <mergeCell ref="R35:S35"/>
    <mergeCell ref="R27:S27"/>
    <mergeCell ref="R28:S28"/>
    <mergeCell ref="R29:S29"/>
    <mergeCell ref="R30:S30"/>
    <mergeCell ref="R31:S31"/>
    <mergeCell ref="R22:S22"/>
    <mergeCell ref="R23:S23"/>
    <mergeCell ref="R24:S24"/>
    <mergeCell ref="R25:S25"/>
    <mergeCell ref="R26:S26"/>
    <mergeCell ref="R17:S17"/>
  </mergeCells>
  <phoneticPr fontId="0" type="noConversion"/>
  <dataValidations count="2">
    <dataValidation type="list" allowBlank="1" showInputMessage="1" showErrorMessage="1" sqref="L15:L35 G15:G35 R15:R35" xr:uid="{00000000-0002-0000-0400-000000000000}">
      <formula1>"0,1,2,3,4,5"</formula1>
    </dataValidation>
    <dataValidation type="list" allowBlank="1" showInputMessage="1" showErrorMessage="1" sqref="D15:D35" xr:uid="{00000000-0002-0000-0400-000001000000}">
      <formula1>"0,1,2,3"</formula1>
    </dataValidation>
  </dataValidations>
  <pageMargins left="0.31496062992125984" right="0.31496062992125984" top="0.31496062992125984" bottom="0.31496062992125984" header="0.19685039370078741" footer="0.19685039370078741"/>
  <pageSetup paperSize="9" scale="70" fitToHeight="7" orientation="landscape" horizontalDpi="200" verticalDpi="200" r:id="rId1"/>
  <headerFooter alignWithMargins="0">
    <oddFooter>&amp;L&amp;8LAST UPDATED: 17 November 2011
FILE REFERENCE: POC Evaluation Sheet&amp;C&amp;8&amp;A&amp;R&amp;8Page &amp;P of &amp;N
Version 1.0</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43"/>
  </sheetPr>
  <dimension ref="A1:E34"/>
  <sheetViews>
    <sheetView tabSelected="1" zoomScaleNormal="100" workbookViewId="0">
      <selection activeCell="B13" sqref="B13:B16"/>
    </sheetView>
  </sheetViews>
  <sheetFormatPr baseColWidth="10" defaultColWidth="9.1640625" defaultRowHeight="13"/>
  <cols>
    <col min="1" max="1" width="19.1640625" style="4" bestFit="1" customWidth="1"/>
    <col min="2" max="2" width="17.1640625" style="4" bestFit="1" customWidth="1"/>
    <col min="3" max="3" width="36.5" style="4" customWidth="1"/>
    <col min="4" max="4" width="14.5" style="4" bestFit="1" customWidth="1"/>
    <col min="5" max="5" width="40.83203125" style="4" customWidth="1"/>
    <col min="6" max="16384" width="9.1640625" style="4"/>
  </cols>
  <sheetData>
    <row r="1" spans="1:5" ht="14">
      <c r="A1" s="152" t="s">
        <v>107</v>
      </c>
      <c r="B1" s="153"/>
      <c r="C1" s="158" t="s">
        <v>112</v>
      </c>
      <c r="D1" s="159"/>
      <c r="E1" s="149"/>
    </row>
    <row r="2" spans="1:5" ht="14">
      <c r="A2" s="154"/>
      <c r="B2" s="155"/>
      <c r="C2" s="158" t="s">
        <v>113</v>
      </c>
      <c r="D2" s="159"/>
      <c r="E2" s="150"/>
    </row>
    <row r="3" spans="1:5" ht="14">
      <c r="A3" s="156"/>
      <c r="B3" s="157"/>
      <c r="C3" s="158" t="s">
        <v>111</v>
      </c>
      <c r="D3" s="159"/>
      <c r="E3" s="151"/>
    </row>
    <row r="4" spans="1:5" s="42" customFormat="1" ht="19">
      <c r="A4" s="43" t="s">
        <v>12</v>
      </c>
      <c r="B4" s="40"/>
      <c r="C4" s="41"/>
    </row>
    <row r="5" spans="1:5" ht="18">
      <c r="A5" s="59"/>
      <c r="B5" s="37"/>
      <c r="C5" s="38"/>
    </row>
    <row r="6" spans="1:5" ht="15">
      <c r="A6" s="39" t="s">
        <v>45</v>
      </c>
      <c r="B6" s="163" t="s">
        <v>71</v>
      </c>
      <c r="C6" s="164"/>
      <c r="D6" s="165"/>
    </row>
    <row r="7" spans="1:5" ht="14">
      <c r="A7" s="51">
        <v>0</v>
      </c>
      <c r="B7" s="203" t="s">
        <v>72</v>
      </c>
      <c r="C7" s="203"/>
      <c r="D7" s="203"/>
    </row>
    <row r="8" spans="1:5" ht="14">
      <c r="A8" s="51">
        <v>1</v>
      </c>
      <c r="B8" s="204" t="s">
        <v>75</v>
      </c>
      <c r="C8" s="204"/>
      <c r="D8" s="204"/>
    </row>
    <row r="9" spans="1:5" ht="14">
      <c r="A9" s="51">
        <v>2</v>
      </c>
      <c r="B9" s="204" t="s">
        <v>73</v>
      </c>
      <c r="C9" s="204"/>
      <c r="D9" s="204"/>
    </row>
    <row r="10" spans="1:5" ht="14">
      <c r="A10" s="51">
        <v>3</v>
      </c>
      <c r="B10" s="204" t="s">
        <v>74</v>
      </c>
      <c r="C10" s="204"/>
      <c r="D10" s="204"/>
    </row>
    <row r="11" spans="1:5" ht="14">
      <c r="A11" s="36"/>
      <c r="B11" s="37"/>
      <c r="C11" s="38"/>
    </row>
    <row r="12" spans="1:5" ht="30">
      <c r="A12" s="208" t="s">
        <v>76</v>
      </c>
      <c r="B12" s="208"/>
      <c r="C12" s="39" t="s">
        <v>77</v>
      </c>
      <c r="D12" s="39" t="s">
        <v>78</v>
      </c>
      <c r="E12" s="39" t="s">
        <v>79</v>
      </c>
    </row>
    <row r="13" spans="1:5" ht="57" customHeight="1">
      <c r="A13" s="205" t="s">
        <v>16</v>
      </c>
      <c r="B13" s="209" t="s">
        <v>3</v>
      </c>
      <c r="C13" s="209" t="s">
        <v>80</v>
      </c>
      <c r="D13" s="51">
        <v>0</v>
      </c>
      <c r="E13" s="44" t="s">
        <v>84</v>
      </c>
    </row>
    <row r="14" spans="1:5" ht="15" customHeight="1">
      <c r="A14" s="206"/>
      <c r="B14" s="210"/>
      <c r="C14" s="210"/>
      <c r="D14" s="51">
        <v>1</v>
      </c>
      <c r="E14" s="44" t="s">
        <v>85</v>
      </c>
    </row>
    <row r="15" spans="1:5" ht="15" customHeight="1">
      <c r="A15" s="206"/>
      <c r="B15" s="210"/>
      <c r="C15" s="210"/>
      <c r="D15" s="51">
        <v>2</v>
      </c>
      <c r="E15" s="44" t="s">
        <v>86</v>
      </c>
    </row>
    <row r="16" spans="1:5" ht="15" customHeight="1">
      <c r="A16" s="207"/>
      <c r="B16" s="211"/>
      <c r="C16" s="211"/>
      <c r="D16" s="51">
        <v>3</v>
      </c>
      <c r="E16" s="44" t="s">
        <v>87</v>
      </c>
    </row>
    <row r="17" spans="1:5" ht="28.5" customHeight="1">
      <c r="A17" s="205" t="s">
        <v>0</v>
      </c>
      <c r="B17" s="209" t="s">
        <v>4</v>
      </c>
      <c r="C17" s="209" t="s">
        <v>81</v>
      </c>
      <c r="D17" s="51">
        <v>0</v>
      </c>
      <c r="E17" s="44" t="s">
        <v>88</v>
      </c>
    </row>
    <row r="18" spans="1:5" ht="15" customHeight="1">
      <c r="A18" s="207"/>
      <c r="B18" s="211"/>
      <c r="C18" s="211"/>
      <c r="D18" s="51">
        <v>1</v>
      </c>
      <c r="E18" s="44" t="s">
        <v>89</v>
      </c>
    </row>
    <row r="19" spans="1:5" ht="71.25" customHeight="1">
      <c r="A19" s="205" t="s">
        <v>1</v>
      </c>
      <c r="B19" s="209" t="s">
        <v>5</v>
      </c>
      <c r="C19" s="209" t="s">
        <v>82</v>
      </c>
      <c r="D19" s="51">
        <v>0</v>
      </c>
      <c r="E19" s="44" t="s">
        <v>90</v>
      </c>
    </row>
    <row r="20" spans="1:5" ht="30">
      <c r="A20" s="206"/>
      <c r="B20" s="210"/>
      <c r="C20" s="210"/>
      <c r="D20" s="51">
        <v>1</v>
      </c>
      <c r="E20" s="44" t="s">
        <v>91</v>
      </c>
    </row>
    <row r="21" spans="1:5" ht="15" customHeight="1">
      <c r="A21" s="206"/>
      <c r="B21" s="210"/>
      <c r="C21" s="210"/>
      <c r="D21" s="51">
        <v>2</v>
      </c>
      <c r="E21" s="44" t="s">
        <v>92</v>
      </c>
    </row>
    <row r="22" spans="1:5" ht="15" customHeight="1">
      <c r="A22" s="207"/>
      <c r="B22" s="211"/>
      <c r="C22" s="211"/>
      <c r="D22" s="51">
        <v>3</v>
      </c>
      <c r="E22" s="44" t="s">
        <v>93</v>
      </c>
    </row>
    <row r="23" spans="1:5" ht="30">
      <c r="A23" s="205" t="s">
        <v>2</v>
      </c>
      <c r="B23" s="209" t="s">
        <v>6</v>
      </c>
      <c r="C23" s="209" t="s">
        <v>83</v>
      </c>
      <c r="D23" s="51">
        <v>0</v>
      </c>
      <c r="E23" s="44" t="s">
        <v>94</v>
      </c>
    </row>
    <row r="24" spans="1:5" ht="15" customHeight="1">
      <c r="A24" s="206"/>
      <c r="B24" s="210"/>
      <c r="C24" s="210"/>
      <c r="D24" s="51">
        <v>1</v>
      </c>
      <c r="E24" s="44" t="s">
        <v>95</v>
      </c>
    </row>
    <row r="25" spans="1:5" ht="15" customHeight="1">
      <c r="A25" s="206"/>
      <c r="B25" s="210"/>
      <c r="C25" s="210"/>
      <c r="D25" s="51">
        <v>2</v>
      </c>
      <c r="E25" s="44" t="s">
        <v>97</v>
      </c>
    </row>
    <row r="26" spans="1:5" ht="15" customHeight="1">
      <c r="A26" s="207"/>
      <c r="B26" s="211"/>
      <c r="C26" s="211"/>
      <c r="D26" s="51">
        <v>3</v>
      </c>
      <c r="E26" s="44" t="s">
        <v>96</v>
      </c>
    </row>
    <row r="28" spans="1:5" ht="15">
      <c r="A28" s="39" t="s">
        <v>51</v>
      </c>
      <c r="B28" s="163" t="s">
        <v>79</v>
      </c>
      <c r="C28" s="164"/>
      <c r="D28" s="165"/>
    </row>
    <row r="29" spans="1:5" ht="14">
      <c r="A29" s="51">
        <v>0</v>
      </c>
      <c r="B29" s="203" t="s">
        <v>98</v>
      </c>
      <c r="C29" s="203"/>
      <c r="D29" s="203"/>
    </row>
    <row r="30" spans="1:5" ht="14">
      <c r="A30" s="51">
        <v>1</v>
      </c>
      <c r="B30" s="204" t="s">
        <v>99</v>
      </c>
      <c r="C30" s="204"/>
      <c r="D30" s="204"/>
    </row>
    <row r="31" spans="1:5" ht="14">
      <c r="A31" s="51">
        <v>2</v>
      </c>
      <c r="B31" s="204" t="s">
        <v>100</v>
      </c>
      <c r="C31" s="204"/>
      <c r="D31" s="204"/>
    </row>
    <row r="32" spans="1:5" ht="14">
      <c r="A32" s="51">
        <v>3</v>
      </c>
      <c r="B32" s="204" t="s">
        <v>101</v>
      </c>
      <c r="C32" s="204"/>
      <c r="D32" s="204"/>
    </row>
    <row r="33" spans="1:4" ht="14">
      <c r="A33" s="51">
        <v>4</v>
      </c>
      <c r="B33" s="204" t="s">
        <v>102</v>
      </c>
      <c r="C33" s="204"/>
      <c r="D33" s="204"/>
    </row>
    <row r="34" spans="1:4" ht="14">
      <c r="A34" s="51">
        <v>5</v>
      </c>
      <c r="B34" s="204" t="s">
        <v>103</v>
      </c>
      <c r="C34" s="204"/>
      <c r="D34" s="204"/>
    </row>
  </sheetData>
  <mergeCells count="30">
    <mergeCell ref="A1:B3"/>
    <mergeCell ref="C1:D1"/>
    <mergeCell ref="C2:D2"/>
    <mergeCell ref="C3:D3"/>
    <mergeCell ref="E1:E3"/>
    <mergeCell ref="B10:D10"/>
    <mergeCell ref="B6:D6"/>
    <mergeCell ref="B7:D7"/>
    <mergeCell ref="B8:D8"/>
    <mergeCell ref="B9:D9"/>
    <mergeCell ref="B28:D28"/>
    <mergeCell ref="A23:A26"/>
    <mergeCell ref="A12:B12"/>
    <mergeCell ref="C13:C16"/>
    <mergeCell ref="B13:B16"/>
    <mergeCell ref="A13:A16"/>
    <mergeCell ref="A17:A18"/>
    <mergeCell ref="B17:B18"/>
    <mergeCell ref="A19:A22"/>
    <mergeCell ref="B19:B22"/>
    <mergeCell ref="C19:C22"/>
    <mergeCell ref="C17:C18"/>
    <mergeCell ref="C23:C26"/>
    <mergeCell ref="B23:B26"/>
    <mergeCell ref="B29:D29"/>
    <mergeCell ref="B34:D34"/>
    <mergeCell ref="B33:D33"/>
    <mergeCell ref="B32:D32"/>
    <mergeCell ref="B31:D31"/>
    <mergeCell ref="B30:D30"/>
  </mergeCells>
  <phoneticPr fontId="0" type="noConversion"/>
  <pageMargins left="0.31496062992125984" right="0.31496062992125984" top="0.31496062992125984" bottom="0.31496062992125984" header="0.19685039370078741" footer="0.19685039370078741"/>
  <pageSetup paperSize="9" fitToHeight="3" orientation="landscape" r:id="rId1"/>
  <headerFooter alignWithMargins="0">
    <oddFooter>&amp;L&amp;8LAST UPDATED: 17 November 2011
FILE REFERENCE: POC Evaluation Sheet&amp;C&amp;8&amp;A&amp;R&amp;8Page &amp;P of &amp;N
Version 1.0</oddFooter>
  </headerFooter>
  <rowBreaks count="1" manualBreakCount="1">
    <brk id="27" max="5" man="1"/>
  </row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Cover Page</vt:lpstr>
      <vt:lpstr>Note to Evaluators</vt:lpstr>
      <vt:lpstr>Score Summary</vt:lpstr>
      <vt:lpstr>Quantitative Evaluation</vt:lpstr>
      <vt:lpstr>Qualitative Eval</vt:lpstr>
      <vt:lpstr>Legend</vt:lpstr>
      <vt:lpstr>Legend!Print_Area</vt:lpstr>
      <vt:lpstr>'Qualitative Eval'!Print_Area</vt:lpstr>
      <vt:lpstr>Legend!Print_Titles</vt:lpstr>
      <vt:lpstr>'Score Summary'!Print_Titles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Eamrungroj</dc:creator>
  <dc:description>Supporting Tool: _x000d_
 Booz MegaExcel Add-In (Version 3.0)_x000d_
 http://www.MegaExcel.com</dc:description>
  <cp:lastModifiedBy>SHIELLA MULYADI</cp:lastModifiedBy>
  <cp:lastPrinted>2011-11-16T01:50:49Z</cp:lastPrinted>
  <dcterms:created xsi:type="dcterms:W3CDTF">2006-01-30T14:43:31Z</dcterms:created>
  <dcterms:modified xsi:type="dcterms:W3CDTF">2020-03-03T10:07:11Z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hinkcellXlWorkbookDoNotDelete" linkTarget="&lt;?xml version=&quot;1.0&quot; encoding=&quot;UTF-16&quot; standalone=&quot;yes&quot;?&gt;&#10;&lt;root reqver=&quot;16160&quot;&gt;&lt;version val=&quot;17978&quot;/&gt;&lt;CXlWorkbook id=&quot;1&quot;&gt;&lt;m_cxllink/&gt;&lt;/CXlWorkbook&gt;&lt;/root&gt;">
    <vt:bool>false</vt:bool>
  </property>
</Properties>
</file>